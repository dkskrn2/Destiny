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kskr\OneDrive\111\명리학\docs\"/>
    </mc:Choice>
  </mc:AlternateContent>
  <bookViews>
    <workbookView xWindow="0" yWindow="0" windowWidth="10770" windowHeight="2625"/>
  </bookViews>
  <sheets>
    <sheet name="견적서" sheetId="1" r:id="rId1"/>
  </sheets>
  <externalReferences>
    <externalReference r:id="rId2"/>
    <externalReference r:id="rId3"/>
    <externalReference r:id="rId4"/>
    <externalReference r:id="rId5"/>
  </externalReferences>
  <definedNames>
    <definedName name="__PN1" localSheetId="0">'[1]Upgrades pricing'!#REF!</definedName>
    <definedName name="__PN1">'[1]Upgrades pricing'!#REF!</definedName>
    <definedName name="_1.05gb_nonplug_drive" localSheetId="0">[2]Supplement2!#REF!</definedName>
    <definedName name="_1.05gb_nonplug_drive">[2]Supplement2!#REF!</definedName>
    <definedName name="_1.05gb_plug_drive" localSheetId="0">[2]Supplement2!#REF!</definedName>
    <definedName name="_1.05gb_plug_drive">[2]Supplement2!#REF!</definedName>
    <definedName name="_2.1gb_fastwide_plug_drive" localSheetId="0">[2]Supplement2!#REF!</definedName>
    <definedName name="_2.1gb_fastwide_plug_drive">[2]Supplement2!#REF!</definedName>
    <definedName name="_2.1gb_nonplug_drive" localSheetId="0">[2]Supplement2!#REF!</definedName>
    <definedName name="_2.1gb_nonplug_drive">[2]Supplement2!#REF!</definedName>
    <definedName name="_2.1gb_plug_drive" localSheetId="0">[2]Supplement2!#REF!</definedName>
    <definedName name="_2.1gb_plug_drive">[2]Supplement2!#REF!</definedName>
    <definedName name="_32mb_70nsmemory" localSheetId="0">[2]Supplement2!#REF!</definedName>
    <definedName name="_32mb_70nsmemory">[2]Supplement2!#REF!</definedName>
    <definedName name="_4.3gb_fastwide_plug_drive" localSheetId="0">[2]Supplement2!#REF!</definedName>
    <definedName name="_4.3gb_fastwide_plug_drive">[2]Supplement2!#REF!</definedName>
    <definedName name="_4.3gb_nonplug_drive" localSheetId="0">[2]Supplement2!#REF!</definedName>
    <definedName name="_4.3gb_nonplug_drive">[2]Supplement2!#REF!</definedName>
    <definedName name="_535mb_nonplug_drive" localSheetId="0">[2]Supplement2!#REF!</definedName>
    <definedName name="_535mb_nonplug_drive">[2]Supplement2!#REF!</definedName>
    <definedName name="_8mb_70nsmemory" localSheetId="0">[2]Supplement2!#REF!</definedName>
    <definedName name="_8mb_70nsmemory">[2]Supplement2!#REF!</definedName>
    <definedName name="_PN1" localSheetId="0">'[1]Upgrades pricing'!#REF!</definedName>
    <definedName name="_SMART_SCSIarray" localSheetId="0">[2]Supplement2!#REF!</definedName>
    <definedName name="_SMART_SCSIarray">[2]Supplement2!#REF!</definedName>
    <definedName name="_US1" localSheetId="0">#REF!</definedName>
    <definedName name="_US1">#REF!</definedName>
    <definedName name="Chart_1">"Chart 1"</definedName>
    <definedName name="COMPAQ_LIST">'[3]COMPAQ-LIST'!$A:$A</definedName>
    <definedName name="COMPAQ_RANGE">'[3]COMPAQ-LIST'!$A:$C</definedName>
    <definedName name="cost" localSheetId="0">#REF!</definedName>
    <definedName name="cost">#REF!</definedName>
    <definedName name="DazzlerPCI_array" localSheetId="0">[2]Supplement2!#REF!</definedName>
    <definedName name="DazzlerPCI_array">[2]Supplement2!#REF!</definedName>
    <definedName name="dfsa" localSheetId="0">[2]Supplement2!#REF!</definedName>
    <definedName name="dfsa">[2]Supplement2!#REF!</definedName>
    <definedName name="GM" localSheetId="0">#REF!</definedName>
    <definedName name="GM">#REF!</definedName>
    <definedName name="minus" localSheetId="0">#REF!</definedName>
    <definedName name="minus">#REF!</definedName>
    <definedName name="MODEL" localSheetId="0">#REF!</definedName>
    <definedName name="MODEL">#REF!</definedName>
    <definedName name="model2" localSheetId="0">#REF!</definedName>
    <definedName name="model2">#REF!</definedName>
    <definedName name="PL_storage" localSheetId="0">[2]Supplement2!#REF!</definedName>
    <definedName name="PL_storage">[2]Supplement2!#REF!</definedName>
    <definedName name="PN" localSheetId="0">'[1]Upgrades pricing'!#REF!</definedName>
    <definedName name="PN">'[1]Upgrades pricing'!#REF!</definedName>
    <definedName name="_xlnm.Print_Area" localSheetId="0">견적서!$A$1:$K$38</definedName>
    <definedName name="RANGE" localSheetId="0">#REF!</definedName>
    <definedName name="RANGE">#REF!</definedName>
    <definedName name="Scorpion_M2_processor" localSheetId="0">[2]Supplement2!#REF!</definedName>
    <definedName name="Scorpion_M2_processor">[2]Supplement2!#REF!</definedName>
    <definedName name="Seawolf_M2_processor" localSheetId="0">[2]Supplement2!#REF!</definedName>
    <definedName name="Seawolf_M2_processor">[2]Supplement2!#REF!</definedName>
    <definedName name="seawolf_TRadder" localSheetId="0">#REF!</definedName>
    <definedName name="seawolf_TRadder">#REF!</definedName>
    <definedName name="SM">'[4]model master'!$A$2:$A$65</definedName>
    <definedName name="SRP" localSheetId="0">#REF!</definedName>
    <definedName name="SRP">#REF!</definedName>
    <definedName name="Sturgeon_M2_processor" localSheetId="0">[2]Supplement2!#REF!</definedName>
    <definedName name="Sturgeon_M2_processor">[2]Supplement2!#REF!</definedName>
    <definedName name="SVR">'[4]model master'!$A$2:$R$65</definedName>
    <definedName name="TStorm_M2_Processor" localSheetId="0">[2]Supplement2!#REF!</definedName>
    <definedName name="TStorm_M2_Processor">[2]Supplement2!#REF!</definedName>
    <definedName name="UPG_PN" localSheetId="0">#REF!</definedName>
    <definedName name="UPG_PN">#REF!</definedName>
    <definedName name="가나다라마바사" localSheetId="0">[2]Supplement2!#REF!</definedName>
    <definedName name="가나다라마바사">[2]Supplement2!#REF!</definedName>
    <definedName name="ㅁㄴㅇㄹ" localSheetId="0">[2]Supplement2!#REF!</definedName>
    <definedName name="ㅁㄴㅇㄹ">[2]Supplement2!#REF!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  <c r="H33" i="1"/>
  <c r="H34" i="1"/>
  <c r="H35" i="1"/>
  <c r="I16" i="1" l="1"/>
  <c r="I17" i="1" s="1"/>
  <c r="D32" i="1"/>
  <c r="D33" i="1"/>
  <c r="D34" i="1"/>
  <c r="D35" i="1"/>
  <c r="J35" i="1" l="1"/>
  <c r="J34" i="1"/>
  <c r="J32" i="1"/>
  <c r="F13" i="1" s="1"/>
  <c r="J13" i="1" s="1"/>
  <c r="J33" i="1" l="1"/>
  <c r="F14" i="1" s="1"/>
  <c r="J14" i="1" s="1"/>
  <c r="F15" i="1" l="1"/>
  <c r="J15" i="1" s="1"/>
  <c r="J16" i="1" s="1"/>
  <c r="J17" i="1" s="1"/>
  <c r="G18" i="1" s="1"/>
  <c r="J18" i="1" s="1"/>
  <c r="G9" i="1" l="1"/>
  <c r="D9" i="1"/>
</calcChain>
</file>

<file path=xl/sharedStrings.xml><?xml version="1.0" encoding="utf-8"?>
<sst xmlns="http://schemas.openxmlformats.org/spreadsheetml/2006/main" count="72" uniqueCount="67">
  <si>
    <t>초급기술자</t>
  </si>
  <si>
    <t>중급기술자</t>
  </si>
  <si>
    <t>고급기술자</t>
  </si>
  <si>
    <t>특급기술자</t>
    <phoneticPr fontId="6" type="noConversion"/>
  </si>
  <si>
    <t>합계</t>
  </si>
  <si>
    <t>기술료
(직접인건비+제경비)*20%</t>
    <phoneticPr fontId="6" type="noConversion"/>
  </si>
  <si>
    <t>제경비
(직접인건비*110%)</t>
    <phoneticPr fontId="6" type="noConversion"/>
  </si>
  <si>
    <t>월 노임단가 
(일 노임단가*21)</t>
    <phoneticPr fontId="6" type="noConversion"/>
  </si>
  <si>
    <t>일 노임단가
(직접인건비)</t>
    <phoneticPr fontId="6" type="noConversion"/>
  </si>
  <si>
    <t>구분</t>
  </si>
  <si>
    <t>*2017년 소프트웨어 노임 단가 요약표 (구축단가)</t>
    <phoneticPr fontId="6" type="noConversion"/>
  </si>
  <si>
    <t>: 운영 기간 중 0.5M/M의 투입인력 지원(중급)</t>
    <phoneticPr fontId="9" type="noConversion"/>
  </si>
  <si>
    <t xml:space="preserve"> ◦ 개발</t>
    <phoneticPr fontId="6" type="noConversion"/>
  </si>
  <si>
    <t xml:space="preserve"> ◦ 퍼블리싱</t>
    <phoneticPr fontId="6" type="noConversion"/>
  </si>
  <si>
    <t xml:space="preserve">총 2M/M의 인력 무상지원
(할인률 적용 전의 소프트웨어 노임단가 기준으로 
약 21,810,000원 상당) </t>
    <phoneticPr fontId="6" type="noConversion"/>
  </si>
  <si>
    <t>: 운영 기간 중 1M/M의 투입인력 지원(초급)</t>
    <phoneticPr fontId="9" type="noConversion"/>
  </si>
  <si>
    <t xml:space="preserve"> ◦ 디자인</t>
    <phoneticPr fontId="6" type="noConversion"/>
  </si>
  <si>
    <t>: 1/4분기 내에 운영 홈페이지의 UX/UI 개선리포트와 후원금 증대 개선방안 리포트를 제출</t>
    <phoneticPr fontId="6" type="noConversion"/>
  </si>
  <si>
    <t xml:space="preserve"> ◦ 기획</t>
    <phoneticPr fontId="6" type="noConversion"/>
  </si>
  <si>
    <t>4. 무상 지원</t>
    <phoneticPr fontId="6" type="noConversion"/>
  </si>
  <si>
    <t>: 상주</t>
    <phoneticPr fontId="9" type="noConversion"/>
  </si>
  <si>
    <t xml:space="preserve"> ◦ 상주여부</t>
    <phoneticPr fontId="6" type="noConversion"/>
  </si>
  <si>
    <t>: 계약일로부터 12개월</t>
    <phoneticPr fontId="6" type="noConversion"/>
  </si>
  <si>
    <t xml:space="preserve"> ◦ 운영기간</t>
    <phoneticPr fontId="6" type="noConversion"/>
  </si>
  <si>
    <t>3. 진행 조건</t>
    <phoneticPr fontId="6" type="noConversion"/>
  </si>
  <si>
    <t xml:space="preserve"> ◦ 정통부 기준 개발비 = 직접인건비 (인원수 X 노임단가) + 제경비 + 기술료를 M/D로 산정</t>
    <phoneticPr fontId="6" type="noConversion"/>
  </si>
  <si>
    <t xml:space="preserve"> ◦ 소프트웨어산업진흥법 제16조, 한국 S/W산업협회 고시, 2017년도 S/W 사업의 노임단가 기준</t>
    <phoneticPr fontId="6" type="noConversion"/>
  </si>
  <si>
    <t>2. 산출 방식</t>
    <phoneticPr fontId="6" type="noConversion"/>
  </si>
  <si>
    <t xml:space="preserve"> ◦ 2017년 홈페이지 연간운영 사항 기준</t>
    <phoneticPr fontId="6" type="noConversion"/>
  </si>
  <si>
    <t>1. 산출 근거</t>
    <phoneticPr fontId="6" type="noConversion"/>
  </si>
  <si>
    <t>[ 비  고 ]</t>
    <phoneticPr fontId="6" type="noConversion"/>
  </si>
  <si>
    <t>제안가(VAT 포함)</t>
    <phoneticPr fontId="6" type="noConversion"/>
  </si>
  <si>
    <t>할인율</t>
    <phoneticPr fontId="6" type="noConversion"/>
  </si>
  <si>
    <t>견적가(VAT 별도)</t>
    <phoneticPr fontId="6" type="noConversion"/>
  </si>
  <si>
    <t>Sub Total</t>
    <phoneticPr fontId="6" type="noConversion"/>
  </si>
  <si>
    <t>중급</t>
    <phoneticPr fontId="6" type="noConversion"/>
  </si>
  <si>
    <t>고급</t>
    <phoneticPr fontId="6" type="noConversion"/>
  </si>
  <si>
    <t>홈페이지 연간운영</t>
    <phoneticPr fontId="9" type="noConversion"/>
  </si>
  <si>
    <t>공급금액
(제안단가 * M/M)</t>
    <phoneticPr fontId="6" type="noConversion"/>
  </si>
  <si>
    <t>M/M</t>
    <phoneticPr fontId="6" type="noConversion"/>
  </si>
  <si>
    <t>Month</t>
    <phoneticPr fontId="6" type="noConversion"/>
  </si>
  <si>
    <t>고시단가</t>
    <phoneticPr fontId="6" type="noConversion"/>
  </si>
  <si>
    <t>Men</t>
    <phoneticPr fontId="6" type="noConversion"/>
  </si>
  <si>
    <t>등급</t>
    <phoneticPr fontId="6" type="noConversion"/>
  </si>
  <si>
    <t>직무</t>
    <phoneticPr fontId="6" type="noConversion"/>
  </si>
  <si>
    <t>구분</t>
    <phoneticPr fontId="6" type="noConversion"/>
  </si>
  <si>
    <t>(만단위 이하 절사, 부가세 포함)</t>
    <phoneticPr fontId="6" type="noConversion"/>
  </si>
  <si>
    <t>일금(원)</t>
    <phoneticPr fontId="6" type="noConversion"/>
  </si>
  <si>
    <t>제안가:</t>
    <phoneticPr fontId="6" type="noConversion"/>
  </si>
  <si>
    <t>견적담당</t>
    <phoneticPr fontId="6" type="noConversion"/>
  </si>
  <si>
    <t>담당자</t>
    <phoneticPr fontId="6" type="noConversion"/>
  </si>
  <si>
    <t xml:space="preserve"> </t>
    <phoneticPr fontId="6" type="noConversion"/>
  </si>
  <si>
    <t>대표이사</t>
    <phoneticPr fontId="6" type="noConversion"/>
  </si>
  <si>
    <t>프로젝트 명</t>
    <phoneticPr fontId="6" type="noConversion"/>
  </si>
  <si>
    <t>주소</t>
    <phoneticPr fontId="6" type="noConversion"/>
  </si>
  <si>
    <t>의뢰사</t>
    <phoneticPr fontId="6" type="noConversion"/>
  </si>
  <si>
    <t>공급사</t>
    <phoneticPr fontId="6" type="noConversion"/>
  </si>
  <si>
    <t>견적일</t>
    <phoneticPr fontId="6" type="noConversion"/>
  </si>
  <si>
    <t>견 적 서</t>
    <phoneticPr fontId="6" type="noConversion"/>
  </si>
  <si>
    <t>PM/기획/디자인</t>
    <phoneticPr fontId="9" type="noConversion"/>
  </si>
  <si>
    <t>FO/퍼블리싱</t>
    <phoneticPr fontId="9" type="noConversion"/>
  </si>
  <si>
    <t>BO개발 / 인프라</t>
    <phoneticPr fontId="9" type="noConversion"/>
  </si>
  <si>
    <t>-</t>
    <phoneticPr fontId="3" type="noConversion"/>
  </si>
  <si>
    <t>GROWTH LINE</t>
    <phoneticPr fontId="6" type="noConversion"/>
  </si>
  <si>
    <t>-</t>
    <phoneticPr fontId="6" type="noConversion"/>
  </si>
  <si>
    <t>유창혜</t>
    <phoneticPr fontId="3" type="noConversion"/>
  </si>
  <si>
    <t xml:space="preserve">유창혜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</si>
</sst>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&quot;₩&quot;#,##0;[Red]&quot;₩&quot;#,##0"/>
    <numFmt numFmtId="177" formatCode="_-&quot;₩&quot;* #,##0_-;\-&quot;₩&quot;* #,##0_-;_-&quot;₩&quot;* &quot;-&quot;??_-;_-@_-"/>
    <numFmt numFmtId="178" formatCode="0.00_);[Red]\(0.00\)"/>
    <numFmt numFmtId="179" formatCode="0.0_);[Red]\(0.0\)"/>
    <numFmt numFmtId="180" formatCode="[DBNum4]General"/>
    <numFmt numFmtId="181" formatCode="yyyy&quot;년&quot;\ m&quot;월&quot;\ d&quot;일&quot;;@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u/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b/>
      <u/>
      <sz val="18"/>
      <name val="맑은 고딕"/>
      <family val="3"/>
      <charset val="129"/>
      <scheme val="minor"/>
    </font>
    <font>
      <sz val="16"/>
      <color rgb="FFC00000"/>
      <name val="맑은 고딕"/>
      <family val="3"/>
      <charset val="129"/>
      <scheme val="minor"/>
    </font>
    <font>
      <b/>
      <sz val="16"/>
      <color rgb="FFC00000"/>
      <name val="맑은 고딕"/>
      <family val="3"/>
      <charset val="129"/>
      <scheme val="minor"/>
    </font>
    <font>
      <b/>
      <sz val="15"/>
      <color rgb="FFC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9A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</fills>
  <borders count="7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5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55"/>
      </right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9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9"/>
      </left>
      <right/>
      <top style="thick">
        <color indexed="64"/>
      </top>
      <bottom/>
      <diagonal/>
    </border>
    <border>
      <left/>
      <right style="thin">
        <color indexed="9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9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9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9"/>
      </left>
      <right style="thin">
        <color indexed="9"/>
      </right>
      <top style="thick">
        <color indexed="64"/>
      </top>
      <bottom style="thick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135">
    <xf numFmtId="0" fontId="0" fillId="0" borderId="0" xfId="0">
      <alignment vertical="center"/>
    </xf>
    <xf numFmtId="0" fontId="2" fillId="0" borderId="1" xfId="2" applyFont="1" applyBorder="1" applyAlignment="1">
      <alignment vertical="center"/>
    </xf>
    <xf numFmtId="0" fontId="2" fillId="0" borderId="1" xfId="2" applyFont="1" applyBorder="1" applyAlignment="1">
      <alignment horizontal="center" vertical="center"/>
    </xf>
    <xf numFmtId="176" fontId="2" fillId="0" borderId="1" xfId="2" applyNumberFormat="1" applyFont="1" applyBorder="1" applyAlignment="1">
      <alignment vertical="center"/>
    </xf>
    <xf numFmtId="41" fontId="2" fillId="0" borderId="1" xfId="1" applyFont="1" applyBorder="1" applyAlignment="1">
      <alignment vertical="center"/>
    </xf>
    <xf numFmtId="3" fontId="2" fillId="0" borderId="1" xfId="2" applyNumberFormat="1" applyFont="1" applyBorder="1" applyAlignment="1">
      <alignment vertical="center"/>
    </xf>
    <xf numFmtId="0" fontId="2" fillId="0" borderId="2" xfId="2" applyFont="1" applyBorder="1" applyAlignment="1">
      <alignment vertical="center"/>
    </xf>
    <xf numFmtId="0" fontId="2" fillId="0" borderId="2" xfId="2" applyFont="1" applyBorder="1" applyAlignment="1">
      <alignment horizontal="center" vertical="center"/>
    </xf>
    <xf numFmtId="176" fontId="2" fillId="0" borderId="2" xfId="2" applyNumberFormat="1" applyFont="1" applyBorder="1" applyAlignment="1">
      <alignment vertical="center"/>
    </xf>
    <xf numFmtId="0" fontId="2" fillId="0" borderId="3" xfId="2" applyFont="1" applyBorder="1" applyAlignment="1">
      <alignment vertical="center"/>
    </xf>
    <xf numFmtId="3" fontId="4" fillId="0" borderId="4" xfId="2" applyNumberFormat="1" applyFont="1" applyBorder="1" applyAlignment="1">
      <alignment horizontal="center" vertical="center"/>
    </xf>
    <xf numFmtId="3" fontId="5" fillId="0" borderId="5" xfId="2" applyNumberFormat="1" applyFont="1" applyBorder="1" applyAlignment="1">
      <alignment horizontal="center" vertical="center"/>
    </xf>
    <xf numFmtId="3" fontId="5" fillId="0" borderId="7" xfId="2" applyNumberFormat="1" applyFont="1" applyBorder="1" applyAlignment="1">
      <alignment horizontal="center" vertical="center"/>
    </xf>
    <xf numFmtId="3" fontId="5" fillId="0" borderId="5" xfId="2" applyNumberFormat="1" applyFont="1" applyBorder="1" applyAlignment="1">
      <alignment vertical="center"/>
    </xf>
    <xf numFmtId="0" fontId="2" fillId="0" borderId="8" xfId="2" applyFont="1" applyBorder="1" applyAlignment="1">
      <alignment vertical="center"/>
    </xf>
    <xf numFmtId="3" fontId="4" fillId="0" borderId="9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2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vertical="center"/>
    </xf>
    <xf numFmtId="3" fontId="4" fillId="2" borderId="13" xfId="2" applyNumberFormat="1" applyFont="1" applyFill="1" applyBorder="1" applyAlignment="1">
      <alignment horizontal="center" vertical="center"/>
    </xf>
    <xf numFmtId="3" fontId="4" fillId="2" borderId="14" xfId="2" applyNumberFormat="1" applyFont="1" applyFill="1" applyBorder="1" applyAlignment="1">
      <alignment horizontal="center" vertical="center" wrapText="1"/>
    </xf>
    <xf numFmtId="3" fontId="4" fillId="2" borderId="16" xfId="2" applyNumberFormat="1" applyFont="1" applyFill="1" applyBorder="1" applyAlignment="1">
      <alignment horizontal="center" vertical="center" wrapText="1"/>
    </xf>
    <xf numFmtId="3" fontId="4" fillId="2" borderId="14" xfId="2" applyNumberFormat="1" applyFont="1" applyFill="1" applyBorder="1" applyAlignment="1">
      <alignment horizontal="center" vertical="center"/>
    </xf>
    <xf numFmtId="0" fontId="5" fillId="0" borderId="17" xfId="2" applyFont="1" applyBorder="1" applyAlignment="1">
      <alignment vertical="center"/>
    </xf>
    <xf numFmtId="0" fontId="5" fillId="0" borderId="17" xfId="2" applyFont="1" applyBorder="1" applyAlignment="1">
      <alignment horizontal="center" vertical="center"/>
    </xf>
    <xf numFmtId="176" fontId="5" fillId="0" borderId="17" xfId="2" applyNumberFormat="1" applyFont="1" applyBorder="1" applyAlignment="1">
      <alignment vertical="center"/>
    </xf>
    <xf numFmtId="0" fontId="7" fillId="0" borderId="17" xfId="2" applyNumberFormat="1" applyFont="1" applyBorder="1" applyAlignment="1">
      <alignment vertical="center"/>
    </xf>
    <xf numFmtId="0" fontId="5" fillId="0" borderId="17" xfId="2" applyFont="1" applyBorder="1" applyAlignment="1"/>
    <xf numFmtId="0" fontId="8" fillId="0" borderId="22" xfId="2" applyFont="1" applyFill="1" applyBorder="1" applyAlignment="1">
      <alignment vertical="center"/>
    </xf>
    <xf numFmtId="0" fontId="8" fillId="0" borderId="28" xfId="2" applyFont="1" applyFill="1" applyBorder="1" applyAlignment="1">
      <alignment vertical="center"/>
    </xf>
    <xf numFmtId="0" fontId="8" fillId="0" borderId="33" xfId="3" applyFont="1" applyFill="1" applyBorder="1" applyAlignment="1">
      <alignment vertical="center"/>
    </xf>
    <xf numFmtId="0" fontId="10" fillId="3" borderId="34" xfId="2" applyFont="1" applyFill="1" applyBorder="1" applyAlignment="1">
      <alignment horizontal="center" vertical="center"/>
    </xf>
    <xf numFmtId="0" fontId="11" fillId="4" borderId="0" xfId="2" applyFont="1" applyFill="1" applyBorder="1" applyAlignment="1">
      <alignment vertical="center"/>
    </xf>
    <xf numFmtId="42" fontId="2" fillId="0" borderId="1" xfId="2" applyNumberFormat="1" applyFont="1" applyBorder="1" applyAlignment="1">
      <alignment vertical="center"/>
    </xf>
    <xf numFmtId="41" fontId="2" fillId="0" borderId="3" xfId="1" applyFont="1" applyBorder="1" applyAlignment="1">
      <alignment vertical="center"/>
    </xf>
    <xf numFmtId="41" fontId="12" fillId="5" borderId="37" xfId="1" applyFont="1" applyFill="1" applyBorder="1" applyAlignment="1">
      <alignment horizontal="left" vertical="center"/>
    </xf>
    <xf numFmtId="44" fontId="2" fillId="0" borderId="3" xfId="2" applyNumberFormat="1" applyFont="1" applyBorder="1" applyAlignment="1">
      <alignment vertical="center"/>
    </xf>
    <xf numFmtId="42" fontId="12" fillId="5" borderId="37" xfId="2" applyNumberFormat="1" applyFont="1" applyFill="1" applyBorder="1" applyAlignment="1">
      <alignment horizontal="left" vertical="center"/>
    </xf>
    <xf numFmtId="178" fontId="13" fillId="5" borderId="40" xfId="2" applyNumberFormat="1" applyFont="1" applyFill="1" applyBorder="1" applyAlignment="1">
      <alignment horizontal="center" vertical="center"/>
    </xf>
    <xf numFmtId="9" fontId="14" fillId="6" borderId="41" xfId="2" applyNumberFormat="1" applyFont="1" applyFill="1" applyBorder="1" applyAlignment="1">
      <alignment horizontal="center" vertical="center"/>
    </xf>
    <xf numFmtId="0" fontId="15" fillId="6" borderId="42" xfId="2" applyFont="1" applyFill="1" applyBorder="1" applyAlignment="1">
      <alignment horizontal="center" vertical="center"/>
    </xf>
    <xf numFmtId="42" fontId="16" fillId="7" borderId="44" xfId="2" applyNumberFormat="1" applyFont="1" applyFill="1" applyBorder="1" applyAlignment="1">
      <alignment horizontal="left" vertical="center"/>
    </xf>
    <xf numFmtId="178" fontId="11" fillId="7" borderId="45" xfId="2" applyNumberFormat="1" applyFont="1" applyFill="1" applyBorder="1" applyAlignment="1">
      <alignment horizontal="center" vertical="center"/>
    </xf>
    <xf numFmtId="42" fontId="18" fillId="0" borderId="44" xfId="2" applyNumberFormat="1" applyFont="1" applyBorder="1" applyAlignment="1">
      <alignment horizontal="left" vertical="center"/>
    </xf>
    <xf numFmtId="179" fontId="18" fillId="0" borderId="45" xfId="2" applyNumberFormat="1" applyFont="1" applyBorder="1" applyAlignment="1">
      <alignment horizontal="center" vertical="center"/>
    </xf>
    <xf numFmtId="0" fontId="18" fillId="0" borderId="45" xfId="2" applyFont="1" applyBorder="1" applyAlignment="1">
      <alignment horizontal="center" vertical="center"/>
    </xf>
    <xf numFmtId="0" fontId="18" fillId="0" borderId="44" xfId="2" applyFont="1" applyBorder="1" applyAlignment="1">
      <alignment horizontal="center" vertical="center" wrapText="1"/>
    </xf>
    <xf numFmtId="0" fontId="19" fillId="8" borderId="50" xfId="2" applyFont="1" applyFill="1" applyBorder="1" applyAlignment="1">
      <alignment horizontal="center" vertical="center" wrapText="1"/>
    </xf>
    <xf numFmtId="0" fontId="19" fillId="8" borderId="50" xfId="2" applyFont="1" applyFill="1" applyBorder="1" applyAlignment="1">
      <alignment horizontal="center" vertical="center"/>
    </xf>
    <xf numFmtId="0" fontId="19" fillId="8" borderId="51" xfId="2" applyFont="1" applyFill="1" applyBorder="1" applyAlignment="1">
      <alignment horizontal="center" vertical="center"/>
    </xf>
    <xf numFmtId="0" fontId="19" fillId="8" borderId="54" xfId="2" applyFont="1" applyFill="1" applyBorder="1" applyAlignment="1">
      <alignment horizontal="center" vertical="center"/>
    </xf>
    <xf numFmtId="0" fontId="5" fillId="4" borderId="0" xfId="2" applyFont="1" applyFill="1" applyBorder="1" applyAlignment="1">
      <alignment horizontal="right" vertical="center"/>
    </xf>
    <xf numFmtId="0" fontId="5" fillId="4" borderId="0" xfId="2" applyFont="1" applyFill="1" applyBorder="1" applyAlignment="1">
      <alignment vertical="center"/>
    </xf>
    <xf numFmtId="0" fontId="4" fillId="4" borderId="0" xfId="2" applyFont="1" applyFill="1" applyBorder="1" applyAlignment="1">
      <alignment vertical="center"/>
    </xf>
    <xf numFmtId="176" fontId="23" fillId="0" borderId="61" xfId="2" applyNumberFormat="1" applyFont="1" applyBorder="1" applyAlignment="1">
      <alignment vertical="center"/>
    </xf>
    <xf numFmtId="180" fontId="22" fillId="0" borderId="60" xfId="2" applyNumberFormat="1" applyFont="1" applyBorder="1" applyAlignment="1">
      <alignment horizontal="center" vertical="center" wrapText="1"/>
    </xf>
    <xf numFmtId="0" fontId="20" fillId="0" borderId="63" xfId="2" applyFont="1" applyBorder="1" applyAlignment="1">
      <alignment horizontal="center" vertical="center"/>
    </xf>
    <xf numFmtId="0" fontId="24" fillId="0" borderId="64" xfId="2" applyFont="1" applyBorder="1" applyAlignment="1">
      <alignment vertical="center"/>
    </xf>
    <xf numFmtId="0" fontId="2" fillId="0" borderId="64" xfId="2" applyFont="1" applyBorder="1" applyAlignment="1">
      <alignment horizontal="center" vertical="center"/>
    </xf>
    <xf numFmtId="176" fontId="2" fillId="0" borderId="64" xfId="2" applyNumberFormat="1" applyFont="1" applyBorder="1" applyAlignment="1">
      <alignment vertical="center"/>
    </xf>
    <xf numFmtId="0" fontId="2" fillId="0" borderId="64" xfId="2" applyFont="1" applyBorder="1" applyAlignment="1">
      <alignment vertical="center"/>
    </xf>
    <xf numFmtId="3" fontId="2" fillId="0" borderId="64" xfId="2" applyNumberFormat="1" applyFont="1" applyBorder="1" applyAlignment="1">
      <alignment vertical="center"/>
    </xf>
    <xf numFmtId="0" fontId="26" fillId="4" borderId="46" xfId="2" applyFont="1" applyFill="1" applyBorder="1" applyAlignment="1">
      <alignment horizontal="center" vertical="center"/>
    </xf>
    <xf numFmtId="0" fontId="26" fillId="4" borderId="66" xfId="2" applyFont="1" applyFill="1" applyBorder="1" applyAlignment="1">
      <alignment horizontal="center" vertical="center"/>
    </xf>
    <xf numFmtId="0" fontId="26" fillId="4" borderId="46" xfId="2" applyFont="1" applyFill="1" applyBorder="1" applyAlignment="1">
      <alignment horizontal="center" vertical="center" wrapText="1"/>
    </xf>
    <xf numFmtId="0" fontId="26" fillId="4" borderId="70" xfId="2" applyFont="1" applyFill="1" applyBorder="1" applyAlignment="1">
      <alignment horizontal="center" vertical="center" wrapText="1"/>
    </xf>
    <xf numFmtId="0" fontId="26" fillId="4" borderId="71" xfId="2" applyFont="1" applyFill="1" applyBorder="1" applyAlignment="1">
      <alignment horizontal="center" vertical="center"/>
    </xf>
    <xf numFmtId="0" fontId="2" fillId="0" borderId="72" xfId="2" applyFont="1" applyBorder="1" applyAlignment="1">
      <alignment vertical="center"/>
    </xf>
    <xf numFmtId="0" fontId="2" fillId="0" borderId="72" xfId="2" applyFont="1" applyBorder="1" applyAlignment="1">
      <alignment horizontal="center" vertical="center"/>
    </xf>
    <xf numFmtId="176" fontId="2" fillId="0" borderId="72" xfId="2" applyNumberFormat="1" applyFont="1" applyBorder="1" applyAlignment="1">
      <alignment vertical="center"/>
    </xf>
    <xf numFmtId="177" fontId="28" fillId="5" borderId="39" xfId="2" applyNumberFormat="1" applyFont="1" applyFill="1" applyBorder="1" applyAlignment="1">
      <alignment vertical="center"/>
    </xf>
    <xf numFmtId="9" fontId="28" fillId="5" borderId="39" xfId="2" applyNumberFormat="1" applyFont="1" applyFill="1" applyBorder="1" applyAlignment="1">
      <alignment horizontal="center" vertical="center"/>
    </xf>
    <xf numFmtId="0" fontId="28" fillId="5" borderId="38" xfId="2" applyFont="1" applyFill="1" applyBorder="1" applyAlignment="1">
      <alignment vertical="center"/>
    </xf>
    <xf numFmtId="3" fontId="5" fillId="0" borderId="9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0" borderId="5" xfId="2" applyNumberFormat="1" applyFont="1" applyBorder="1" applyAlignment="1">
      <alignment horizontal="center" vertical="center"/>
    </xf>
    <xf numFmtId="3" fontId="4" fillId="2" borderId="13" xfId="2" applyNumberFormat="1" applyFont="1" applyFill="1" applyBorder="1" applyAlignment="1">
      <alignment horizontal="center" vertical="center" wrapText="1"/>
    </xf>
    <xf numFmtId="3" fontId="4" fillId="2" borderId="15" xfId="2" applyNumberFormat="1" applyFont="1" applyFill="1" applyBorder="1" applyAlignment="1">
      <alignment horizontal="center" vertical="center"/>
    </xf>
    <xf numFmtId="3" fontId="4" fillId="2" borderId="14" xfId="2" applyNumberFormat="1" applyFont="1" applyFill="1" applyBorder="1" applyAlignment="1">
      <alignment horizontal="center" vertical="center"/>
    </xf>
    <xf numFmtId="0" fontId="10" fillId="3" borderId="34" xfId="2" applyFont="1" applyFill="1" applyBorder="1" applyAlignment="1">
      <alignment horizontal="center" vertical="center"/>
    </xf>
    <xf numFmtId="0" fontId="10" fillId="3" borderId="29" xfId="2" applyFont="1" applyFill="1" applyBorder="1" applyAlignment="1">
      <alignment horizontal="center" vertical="center"/>
    </xf>
    <xf numFmtId="0" fontId="10" fillId="3" borderId="23" xfId="2" applyFont="1" applyFill="1" applyBorder="1" applyAlignment="1">
      <alignment horizontal="center" vertical="center"/>
    </xf>
    <xf numFmtId="0" fontId="8" fillId="0" borderId="32" xfId="3" applyFont="1" applyFill="1" applyBorder="1" applyAlignment="1">
      <alignment horizontal="left" vertical="center"/>
    </xf>
    <xf numFmtId="0" fontId="8" fillId="0" borderId="27" xfId="2" applyFont="1" applyFill="1" applyBorder="1" applyAlignment="1">
      <alignment horizontal="left" vertical="center" wrapText="1"/>
    </xf>
    <xf numFmtId="0" fontId="8" fillId="0" borderId="26" xfId="2" applyFont="1" applyFill="1" applyBorder="1" applyAlignment="1">
      <alignment horizontal="left" vertical="center" wrapText="1"/>
    </xf>
    <xf numFmtId="0" fontId="8" fillId="0" borderId="21" xfId="2" applyFont="1" applyFill="1" applyBorder="1" applyAlignment="1">
      <alignment horizontal="left" vertical="center" wrapText="1"/>
    </xf>
    <xf numFmtId="0" fontId="8" fillId="0" borderId="20" xfId="2" applyFont="1" applyFill="1" applyBorder="1" applyAlignment="1">
      <alignment horizontal="left" vertical="center" wrapText="1"/>
    </xf>
    <xf numFmtId="0" fontId="13" fillId="5" borderId="43" xfId="2" applyFont="1" applyFill="1" applyBorder="1" applyAlignment="1">
      <alignment horizontal="center" vertical="center"/>
    </xf>
    <xf numFmtId="0" fontId="13" fillId="5" borderId="42" xfId="2" applyFont="1" applyFill="1" applyBorder="1" applyAlignment="1">
      <alignment horizontal="center" vertical="center"/>
    </xf>
    <xf numFmtId="0" fontId="8" fillId="0" borderId="35" xfId="2" applyFont="1" applyFill="1" applyBorder="1" applyAlignment="1">
      <alignment horizontal="left" vertical="center" wrapText="1"/>
    </xf>
    <xf numFmtId="0" fontId="8" fillId="0" borderId="31" xfId="2" applyFont="1" applyFill="1" applyBorder="1" applyAlignment="1">
      <alignment horizontal="center" vertical="center" wrapText="1"/>
    </xf>
    <xf numFmtId="0" fontId="8" fillId="0" borderId="30" xfId="2" applyFont="1" applyFill="1" applyBorder="1" applyAlignment="1">
      <alignment horizontal="center" vertical="center" wrapText="1"/>
    </xf>
    <xf numFmtId="0" fontId="8" fillId="0" borderId="25" xfId="2" applyFont="1" applyFill="1" applyBorder="1" applyAlignment="1">
      <alignment horizontal="center" vertical="center" wrapText="1"/>
    </xf>
    <xf numFmtId="0" fontId="8" fillId="0" borderId="24" xfId="2" applyFont="1" applyFill="1" applyBorder="1" applyAlignment="1">
      <alignment horizontal="center" vertical="center" wrapText="1"/>
    </xf>
    <xf numFmtId="0" fontId="8" fillId="0" borderId="19" xfId="2" applyFont="1" applyFill="1" applyBorder="1" applyAlignment="1">
      <alignment horizontal="center" vertical="center" wrapText="1"/>
    </xf>
    <xf numFmtId="0" fontId="8" fillId="0" borderId="18" xfId="2" applyFont="1" applyFill="1" applyBorder="1" applyAlignment="1">
      <alignment horizontal="center" vertical="center" wrapText="1"/>
    </xf>
    <xf numFmtId="0" fontId="13" fillId="5" borderId="39" xfId="2" applyFont="1" applyFill="1" applyBorder="1" applyAlignment="1">
      <alignment horizontal="center" vertical="center"/>
    </xf>
    <xf numFmtId="0" fontId="8" fillId="0" borderId="33" xfId="3" applyFont="1" applyFill="1" applyBorder="1" applyAlignment="1">
      <alignment horizontal="left" vertical="center"/>
    </xf>
    <xf numFmtId="0" fontId="8" fillId="0" borderId="36" xfId="3" applyFont="1" applyFill="1" applyBorder="1" applyAlignment="1">
      <alignment horizontal="left" vertical="center"/>
    </xf>
    <xf numFmtId="0" fontId="8" fillId="0" borderId="20" xfId="3" applyFont="1" applyFill="1" applyBorder="1" applyAlignment="1">
      <alignment horizontal="left" vertical="center"/>
    </xf>
    <xf numFmtId="0" fontId="8" fillId="0" borderId="22" xfId="3" applyFont="1" applyFill="1" applyBorder="1" applyAlignment="1">
      <alignment horizontal="left" vertical="center"/>
    </xf>
    <xf numFmtId="0" fontId="24" fillId="4" borderId="45" xfId="2" applyFont="1" applyFill="1" applyBorder="1" applyAlignment="1">
      <alignment horizontal="center" vertical="center"/>
    </xf>
    <xf numFmtId="0" fontId="24" fillId="4" borderId="44" xfId="2" applyFont="1" applyFill="1" applyBorder="1" applyAlignment="1">
      <alignment horizontal="center" vertical="center"/>
    </xf>
    <xf numFmtId="0" fontId="25" fillId="4" borderId="65" xfId="2" applyFont="1" applyFill="1" applyBorder="1" applyAlignment="1">
      <alignment vertical="center"/>
    </xf>
    <xf numFmtId="180" fontId="22" fillId="0" borderId="59" xfId="2" applyNumberFormat="1" applyFont="1" applyBorder="1" applyAlignment="1">
      <alignment horizontal="center" vertical="center" wrapText="1"/>
    </xf>
    <xf numFmtId="180" fontId="22" fillId="0" borderId="62" xfId="2" applyNumberFormat="1" applyFont="1" applyBorder="1" applyAlignment="1">
      <alignment horizontal="center" vertical="center" wrapText="1"/>
    </xf>
    <xf numFmtId="0" fontId="22" fillId="0" borderId="60" xfId="2" applyFont="1" applyBorder="1" applyAlignment="1">
      <alignment horizontal="left" vertical="center"/>
    </xf>
    <xf numFmtId="0" fontId="22" fillId="0" borderId="59" xfId="2" applyFont="1" applyBorder="1" applyAlignment="1">
      <alignment horizontal="left" vertical="center"/>
    </xf>
    <xf numFmtId="0" fontId="21" fillId="0" borderId="58" xfId="2" applyFont="1" applyBorder="1"/>
    <xf numFmtId="3" fontId="20" fillId="0" borderId="57" xfId="2" applyNumberFormat="1" applyFont="1" applyBorder="1" applyAlignment="1">
      <alignment horizontal="center" vertical="center"/>
    </xf>
    <xf numFmtId="0" fontId="18" fillId="0" borderId="56" xfId="2" applyFont="1" applyBorder="1" applyAlignment="1"/>
    <xf numFmtId="0" fontId="18" fillId="0" borderId="55" xfId="2" applyFont="1" applyBorder="1" applyAlignment="1"/>
    <xf numFmtId="176" fontId="18" fillId="0" borderId="44" xfId="2" applyNumberFormat="1" applyFont="1" applyBorder="1" applyAlignment="1">
      <alignment horizontal="center" vertical="center"/>
    </xf>
    <xf numFmtId="176" fontId="18" fillId="0" borderId="46" xfId="2" applyNumberFormat="1" applyFont="1" applyBorder="1" applyAlignment="1">
      <alignment horizontal="center" vertical="center"/>
    </xf>
    <xf numFmtId="176" fontId="19" fillId="8" borderId="53" xfId="2" applyNumberFormat="1" applyFont="1" applyFill="1" applyBorder="1" applyAlignment="1">
      <alignment horizontal="center" vertical="center"/>
    </xf>
    <xf numFmtId="176" fontId="19" fillId="8" borderId="52" xfId="2" applyNumberFormat="1" applyFont="1" applyFill="1" applyBorder="1" applyAlignment="1">
      <alignment horizontal="center" vertical="center"/>
    </xf>
    <xf numFmtId="0" fontId="17" fillId="0" borderId="49" xfId="2" applyFont="1" applyBorder="1" applyAlignment="1">
      <alignment horizontal="center" vertical="center" wrapText="1"/>
    </xf>
    <xf numFmtId="0" fontId="17" fillId="0" borderId="48" xfId="2" applyFont="1" applyBorder="1" applyAlignment="1">
      <alignment horizontal="center" vertical="center" wrapText="1"/>
    </xf>
    <xf numFmtId="181" fontId="2" fillId="0" borderId="45" xfId="2" applyNumberFormat="1" applyFont="1" applyBorder="1" applyAlignment="1">
      <alignment horizontal="center" vertical="center"/>
    </xf>
    <xf numFmtId="0" fontId="18" fillId="0" borderId="45" xfId="2" applyFont="1" applyBorder="1" applyAlignment="1">
      <alignment horizontal="center" vertical="center"/>
    </xf>
    <xf numFmtId="0" fontId="11" fillId="7" borderId="44" xfId="2" applyFont="1" applyFill="1" applyBorder="1" applyAlignment="1">
      <alignment horizontal="left" vertical="center"/>
    </xf>
    <xf numFmtId="0" fontId="11" fillId="7" borderId="47" xfId="2" applyFont="1" applyFill="1" applyBorder="1" applyAlignment="1">
      <alignment horizontal="left" vertical="center"/>
    </xf>
    <xf numFmtId="0" fontId="11" fillId="7" borderId="46" xfId="2" applyFont="1" applyFill="1" applyBorder="1" applyAlignment="1">
      <alignment horizontal="left" vertical="center"/>
    </xf>
    <xf numFmtId="0" fontId="27" fillId="0" borderId="8" xfId="2" applyFont="1" applyBorder="1" applyAlignment="1">
      <alignment horizontal="center" vertical="center"/>
    </xf>
    <xf numFmtId="0" fontId="2" fillId="0" borderId="73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181" fontId="2" fillId="0" borderId="69" xfId="2" applyNumberFormat="1" applyFont="1" applyBorder="1" applyAlignment="1">
      <alignment horizontal="center" vertical="center"/>
    </xf>
    <xf numFmtId="0" fontId="18" fillId="0" borderId="69" xfId="2" applyFont="1" applyBorder="1" applyAlignment="1">
      <alignment horizontal="center" vertical="center"/>
    </xf>
    <xf numFmtId="0" fontId="24" fillId="4" borderId="69" xfId="2" applyFont="1" applyFill="1" applyBorder="1" applyAlignment="1">
      <alignment horizontal="center" vertical="center"/>
    </xf>
    <xf numFmtId="0" fontId="24" fillId="4" borderId="68" xfId="2" applyFont="1" applyFill="1" applyBorder="1" applyAlignment="1">
      <alignment horizontal="center" vertical="center"/>
    </xf>
    <xf numFmtId="0" fontId="25" fillId="4" borderId="67" xfId="2" applyFont="1" applyFill="1" applyBorder="1" applyAlignment="1">
      <alignment vertical="center"/>
    </xf>
    <xf numFmtId="181" fontId="2" fillId="0" borderId="45" xfId="2" applyNumberFormat="1" applyFont="1" applyBorder="1" applyAlignment="1">
      <alignment horizontal="center" vertical="center" wrapText="1"/>
    </xf>
  </cellXfs>
  <cellStyles count="4">
    <cellStyle name="쉼표 [0]" xfId="1" builtinId="6"/>
    <cellStyle name="표준" xfId="0" builtinId="0"/>
    <cellStyle name="표준 2" xfId="2"/>
    <cellStyle name="표준_산출기초_견적서_가상공간_충주_기업_도시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TEMP\ARC95PR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MAIL\INBOX\HSOH\TEMP\IPG0696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%20%231\COMPAQ\&#48156;&#51452;&#49436;_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0&#45380;data\My%20Documents\My%20Documents\&#51088;&#46041;&#44204;&#5120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ement2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컴팩 "/>
      <sheetName val="컴팩  (2)"/>
      <sheetName val="COMPAQ-LIST"/>
      <sheetName val="컴팩 ATLAS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Part No.</v>
          </cell>
          <cell r="B2" t="str">
            <v>Deskpro EP Series Celeron</v>
          </cell>
          <cell r="C2" t="str">
            <v>K1</v>
          </cell>
        </row>
        <row r="5">
          <cell r="A5" t="str">
            <v>386177-A74</v>
          </cell>
          <cell r="B5" t="str">
            <v>Model C366/4.3/32 (W95)</v>
          </cell>
          <cell r="C5">
            <v>960</v>
          </cell>
        </row>
        <row r="6">
          <cell r="A6" t="str">
            <v>386177-A72</v>
          </cell>
          <cell r="B6" t="str">
            <v>Model C366/6.4/64/CDS (W95)</v>
          </cell>
          <cell r="C6">
            <v>1170</v>
          </cell>
        </row>
        <row r="7">
          <cell r="A7" t="str">
            <v>401608-A72</v>
          </cell>
          <cell r="B7" t="str">
            <v>Model C400/4.3/32 (W95)</v>
          </cell>
          <cell r="C7">
            <v>1060</v>
          </cell>
        </row>
        <row r="8">
          <cell r="A8" t="str">
            <v>401608-A74</v>
          </cell>
          <cell r="B8" t="str">
            <v>Model C400/6.4/64/CDS (W95)</v>
          </cell>
          <cell r="C8">
            <v>1270</v>
          </cell>
        </row>
        <row r="10">
          <cell r="A10" t="str">
            <v>Part No.</v>
          </cell>
          <cell r="B10" t="str">
            <v>DP EP series Pentium II &amp; III</v>
          </cell>
          <cell r="C10" t="str">
            <v>K1</v>
          </cell>
        </row>
        <row r="13">
          <cell r="A13" t="str">
            <v>356102-A77</v>
          </cell>
          <cell r="B13" t="str">
            <v>Model 6350/4.3/64 (W95)</v>
          </cell>
          <cell r="C13">
            <v>1440</v>
          </cell>
        </row>
        <row r="14">
          <cell r="A14" t="str">
            <v>356102-A78</v>
          </cell>
          <cell r="B14" t="str">
            <v>Model 6350/4.3/64 (NT4)</v>
          </cell>
          <cell r="C14">
            <v>1480</v>
          </cell>
        </row>
        <row r="15">
          <cell r="A15" t="str">
            <v>166752-A72</v>
          </cell>
          <cell r="B15" t="str">
            <v>Model 6350/6.4/64/CDS (W95)</v>
          </cell>
          <cell r="C15">
            <v>1490</v>
          </cell>
        </row>
        <row r="16">
          <cell r="A16" t="str">
            <v>166752-A73</v>
          </cell>
          <cell r="B16" t="str">
            <v>Model 6350/6.4/64 (NT4)</v>
          </cell>
          <cell r="C16">
            <v>1540</v>
          </cell>
        </row>
        <row r="17">
          <cell r="A17" t="str">
            <v>166762-A72</v>
          </cell>
          <cell r="B17" t="str">
            <v>Model 6400/6.4/64/CDS (W95)</v>
          </cell>
          <cell r="C17">
            <v>1800</v>
          </cell>
        </row>
        <row r="18">
          <cell r="A18" t="str">
            <v>166762-A73</v>
          </cell>
          <cell r="B18" t="str">
            <v>Model 6400/6.4/64/CDS (NT4)</v>
          </cell>
          <cell r="C18">
            <v>1850</v>
          </cell>
        </row>
        <row r="19">
          <cell r="A19" t="str">
            <v>386178-A74</v>
          </cell>
          <cell r="B19" t="str">
            <v>Model PIII 450/10.0/64/CDS (W95)</v>
          </cell>
          <cell r="C19">
            <v>2250</v>
          </cell>
        </row>
        <row r="20">
          <cell r="A20" t="str">
            <v>386178-A75</v>
          </cell>
          <cell r="B20" t="str">
            <v>Model PIII 450/10.0/64/CDS (NT4)</v>
          </cell>
          <cell r="C20">
            <v>2280</v>
          </cell>
        </row>
        <row r="21">
          <cell r="A21" t="str">
            <v>386179-A74</v>
          </cell>
          <cell r="B21" t="str">
            <v>Model PIII 500/10.0/64/CDS (W95)</v>
          </cell>
          <cell r="C21">
            <v>2590</v>
          </cell>
        </row>
        <row r="22">
          <cell r="A22" t="str">
            <v>386179-A75</v>
          </cell>
          <cell r="B22" t="str">
            <v>Model PIII 500/10.0/64/CDS (NT4)</v>
          </cell>
          <cell r="C22">
            <v>2620</v>
          </cell>
        </row>
        <row r="24">
          <cell r="A24" t="str">
            <v>Part No.</v>
          </cell>
          <cell r="B24" t="str">
            <v>DP EN series</v>
          </cell>
          <cell r="C24" t="str">
            <v>K1</v>
          </cell>
        </row>
        <row r="27">
          <cell r="A27" t="str">
            <v>178922-A75</v>
          </cell>
          <cell r="B27" t="str">
            <v>Model 6350/6.4/64/CDS (W95)</v>
          </cell>
          <cell r="C27">
            <v>1680</v>
          </cell>
        </row>
        <row r="28">
          <cell r="A28" t="str">
            <v>178922-A78</v>
          </cell>
          <cell r="B28" t="str">
            <v>Model 6350/6.4/64/CDS (NT4)</v>
          </cell>
          <cell r="C28">
            <v>1720</v>
          </cell>
        </row>
        <row r="29">
          <cell r="A29" t="str">
            <v>178932-A72</v>
          </cell>
          <cell r="B29" t="str">
            <v>Model 6400/6.4/64/CDS (W95)</v>
          </cell>
          <cell r="C29">
            <v>1880</v>
          </cell>
        </row>
        <row r="30">
          <cell r="A30" t="str">
            <v>178932-A73</v>
          </cell>
          <cell r="B30" t="str">
            <v>Model 6400/6.4/64/CDS (NT4)</v>
          </cell>
          <cell r="C30">
            <v>2010</v>
          </cell>
        </row>
        <row r="31">
          <cell r="A31" t="str">
            <v>178942-A73</v>
          </cell>
          <cell r="B31" t="str">
            <v>Model 6450/6.4/64/CDS (NT4)</v>
          </cell>
          <cell r="C31">
            <v>2380</v>
          </cell>
        </row>
        <row r="32">
          <cell r="A32" t="str">
            <v>326302-A73</v>
          </cell>
          <cell r="B32" t="str">
            <v>Model 6350/S4.3/64/CDS (NT4)</v>
          </cell>
          <cell r="C32">
            <v>2190</v>
          </cell>
        </row>
        <row r="33">
          <cell r="A33" t="str">
            <v>326402-A72</v>
          </cell>
          <cell r="B33" t="str">
            <v>Model 6400/S4.3/64/CDS (NT4)</v>
          </cell>
          <cell r="C33">
            <v>2470</v>
          </cell>
        </row>
        <row r="34">
          <cell r="A34" t="str">
            <v>326552-A72</v>
          </cell>
          <cell r="B34" t="str">
            <v>Model M 6450/S9.1/64/CDS (NT4)</v>
          </cell>
          <cell r="C34">
            <v>3030</v>
          </cell>
        </row>
        <row r="35">
          <cell r="A35" t="str">
            <v>386184-A72</v>
          </cell>
          <cell r="B35" t="str">
            <v>Model M PIII 450/10.0/128/CDS (W95)</v>
          </cell>
          <cell r="C35">
            <v>2550</v>
          </cell>
        </row>
        <row r="36">
          <cell r="A36" t="str">
            <v>386184-A73</v>
          </cell>
          <cell r="B36" t="str">
            <v xml:space="preserve">Model M PIII 450/10.0/128/CDS (NT4) </v>
          </cell>
          <cell r="C36">
            <v>2570</v>
          </cell>
        </row>
        <row r="37">
          <cell r="A37" t="str">
            <v>386185-A72</v>
          </cell>
          <cell r="B37" t="str">
            <v>Model M PIII 500/10.0/128/CDS (W95)</v>
          </cell>
          <cell r="C37">
            <v>2970</v>
          </cell>
        </row>
        <row r="38">
          <cell r="A38" t="str">
            <v>386185-A73</v>
          </cell>
          <cell r="B38" t="str">
            <v>Model M PIII 500/10.0/128/CDS (NT4)</v>
          </cell>
          <cell r="C38">
            <v>3000</v>
          </cell>
        </row>
        <row r="40">
          <cell r="A40" t="str">
            <v>Part. No</v>
          </cell>
          <cell r="B40" t="str">
            <v xml:space="preserve">DP EN series SFF </v>
          </cell>
          <cell r="C40" t="str">
            <v>K1</v>
          </cell>
        </row>
        <row r="43">
          <cell r="A43" t="str">
            <v>314052-A72</v>
          </cell>
          <cell r="B43" t="str">
            <v>Model 6350/6.4/32 (W95)</v>
          </cell>
          <cell r="C43">
            <v>1390</v>
          </cell>
        </row>
        <row r="44">
          <cell r="A44" t="str">
            <v>314052-A73</v>
          </cell>
          <cell r="B44" t="str">
            <v>Model 6350/6.4/32/CDS (W95)</v>
          </cell>
          <cell r="C44">
            <v>1580</v>
          </cell>
        </row>
        <row r="45">
          <cell r="A45" t="str">
            <v>314062-A73</v>
          </cell>
          <cell r="B45" t="str">
            <v>Model 6400/6.4/32/CDS (W95)</v>
          </cell>
          <cell r="C45">
            <v>1890</v>
          </cell>
        </row>
        <row r="46">
          <cell r="A46" t="str">
            <v>314072-A73</v>
          </cell>
          <cell r="B46" t="str">
            <v>Model 6450/6.4/64/CDS (W95)</v>
          </cell>
          <cell r="C46">
            <v>2370</v>
          </cell>
        </row>
        <row r="48">
          <cell r="A48" t="str">
            <v>Part No.</v>
          </cell>
          <cell r="B48" t="str">
            <v>Description</v>
          </cell>
          <cell r="C48" t="str">
            <v>K1</v>
          </cell>
        </row>
        <row r="49">
          <cell r="A49" t="str">
            <v>Audio Cards</v>
          </cell>
        </row>
        <row r="50">
          <cell r="A50" t="str">
            <v>294146-B21</v>
          </cell>
          <cell r="B50" t="str">
            <v>Wavetable Soundcard</v>
          </cell>
          <cell r="C50">
            <v>75</v>
          </cell>
        </row>
        <row r="51">
          <cell r="A51" t="str">
            <v>185061-001</v>
          </cell>
          <cell r="B51" t="str">
            <v>SuperDisk LS-120 Drive Kit</v>
          </cell>
          <cell r="C51">
            <v>196.89600000000002</v>
          </cell>
        </row>
        <row r="52">
          <cell r="A52" t="str">
            <v>Hard Drives</v>
          </cell>
        </row>
        <row r="53">
          <cell r="A53" t="str">
            <v>294368-B21</v>
          </cell>
          <cell r="B53" t="str">
            <v>2.1GB HDD UATA</v>
          </cell>
          <cell r="C53">
            <v>295.34399999999999</v>
          </cell>
        </row>
        <row r="54">
          <cell r="A54" t="str">
            <v>296606-B21</v>
          </cell>
          <cell r="B54" t="str">
            <v>4.3GB UDMA HDD</v>
          </cell>
          <cell r="C54">
            <v>290</v>
          </cell>
        </row>
        <row r="55">
          <cell r="A55" t="str">
            <v>294244-B21</v>
          </cell>
          <cell r="B55" t="str">
            <v>6.4GB UDMA HDD</v>
          </cell>
          <cell r="C55">
            <v>340</v>
          </cell>
        </row>
        <row r="56">
          <cell r="A56" t="str">
            <v>294245-B21</v>
          </cell>
          <cell r="B56" t="str">
            <v>8.4GB UDMA HDD</v>
          </cell>
          <cell r="C56">
            <v>380</v>
          </cell>
        </row>
        <row r="57">
          <cell r="A57" t="str">
            <v>387473-B21</v>
          </cell>
          <cell r="B57" t="str">
            <v>10GB UDMA HDD</v>
          </cell>
          <cell r="C57">
            <v>410</v>
          </cell>
        </row>
        <row r="58">
          <cell r="A58" t="str">
            <v>294246-B21</v>
          </cell>
          <cell r="B58" t="str">
            <v>9.1GB UW SCSI HDD</v>
          </cell>
          <cell r="C58">
            <v>780</v>
          </cell>
        </row>
        <row r="59">
          <cell r="A59" t="str">
            <v>294371-B21</v>
          </cell>
          <cell r="B59" t="str">
            <v>4.3GB UW SCSI HDD</v>
          </cell>
          <cell r="C59">
            <v>530</v>
          </cell>
        </row>
        <row r="60">
          <cell r="A60" t="str">
            <v>ROMs</v>
          </cell>
        </row>
        <row r="61">
          <cell r="A61" t="str">
            <v>294358-B21</v>
          </cell>
          <cell r="B61" t="str">
            <v>24X Slim IDE CD-ROM Drive</v>
          </cell>
          <cell r="C61">
            <v>175.8</v>
          </cell>
        </row>
        <row r="62">
          <cell r="A62" t="str">
            <v>294240-B21</v>
          </cell>
          <cell r="B62" t="str">
            <v>32X CD-ROM Drive(IDE)</v>
          </cell>
          <cell r="C62">
            <v>110.75399999999999</v>
          </cell>
        </row>
        <row r="63">
          <cell r="A63" t="str">
            <v>185085-001</v>
          </cell>
          <cell r="B63" t="str">
            <v>PD Disc (Qty.2)</v>
          </cell>
          <cell r="C63">
            <v>85</v>
          </cell>
        </row>
        <row r="64">
          <cell r="A64" t="str">
            <v>185085-002</v>
          </cell>
          <cell r="B64" t="str">
            <v>PD Disc (Qty 5)</v>
          </cell>
          <cell r="C64">
            <v>185</v>
          </cell>
        </row>
        <row r="65">
          <cell r="A65" t="str">
            <v>Floppy Dives</v>
          </cell>
        </row>
        <row r="66">
          <cell r="A66" t="str">
            <v>294402-B21</v>
          </cell>
          <cell r="B66" t="str">
            <v>Iomega Zip 100 Drive</v>
          </cell>
          <cell r="C66">
            <v>120</v>
          </cell>
        </row>
        <row r="67">
          <cell r="A67" t="str">
            <v>185061-B25</v>
          </cell>
          <cell r="B67" t="str">
            <v>SuperDisk LS-120 Drive Kit -Opal color</v>
          </cell>
          <cell r="C67">
            <v>189.864</v>
          </cell>
        </row>
        <row r="68">
          <cell r="A68" t="str">
            <v>Controller Cards</v>
          </cell>
        </row>
        <row r="69">
          <cell r="A69" t="str">
            <v>294311-B21</v>
          </cell>
          <cell r="B69" t="str">
            <v>Ultra Wide Controller kit</v>
          </cell>
          <cell r="C69">
            <v>219.45700000000002</v>
          </cell>
        </row>
        <row r="70">
          <cell r="A70" t="str">
            <v>Cables &amp; Adapters</v>
          </cell>
        </row>
        <row r="71">
          <cell r="A71" t="str">
            <v>294162-B21</v>
          </cell>
          <cell r="B71" t="str">
            <v xml:space="preserve">Ultra ATA Cable Kit </v>
          </cell>
          <cell r="C71">
            <v>26.252799999999997</v>
          </cell>
        </row>
        <row r="72">
          <cell r="A72" t="str">
            <v>294360-B21</v>
          </cell>
          <cell r="B72" t="str">
            <v>UN SCSI Cable Kit</v>
          </cell>
          <cell r="C72">
            <v>37</v>
          </cell>
        </row>
        <row r="73">
          <cell r="A73" t="str">
            <v>Video &amp; Cache</v>
          </cell>
        </row>
        <row r="74">
          <cell r="A74" t="str">
            <v>270830-B21</v>
          </cell>
          <cell r="B74" t="str">
            <v>S3V2 1MB SGRAM Video Upgrade</v>
          </cell>
          <cell r="C74">
            <v>40</v>
          </cell>
        </row>
        <row r="75">
          <cell r="A75" t="str">
            <v>270834-B21</v>
          </cell>
          <cell r="B75" t="str">
            <v>S3V2 2MB SGRAM Video Upgrade</v>
          </cell>
          <cell r="C75">
            <v>49.010909090909088</v>
          </cell>
        </row>
        <row r="76">
          <cell r="A76" t="str">
            <v>270831-B21</v>
          </cell>
          <cell r="B76" t="str">
            <v>4MB WRAM Matrox Millenium II</v>
          </cell>
          <cell r="C76">
            <v>140</v>
          </cell>
        </row>
        <row r="77">
          <cell r="A77" t="str">
            <v>270833-B21</v>
          </cell>
          <cell r="B77" t="str">
            <v>12MB WRAM Matrox Millenium II</v>
          </cell>
          <cell r="C77">
            <v>334.55272727272722</v>
          </cell>
        </row>
        <row r="78">
          <cell r="A78" t="str">
            <v>294227-B21</v>
          </cell>
          <cell r="B78" t="str">
            <v>4MB SGRAM 100MHz</v>
          </cell>
          <cell r="C78">
            <v>60.943999999999996</v>
          </cell>
        </row>
        <row r="79">
          <cell r="A79" t="str">
            <v>243011-002</v>
          </cell>
          <cell r="B79" t="str">
            <v>8-MB Memory Kit (2x4MB, EDO SiMMs, 60ns)</v>
          </cell>
          <cell r="C79">
            <v>45.942399999999992</v>
          </cell>
        </row>
        <row r="80">
          <cell r="A80" t="str">
            <v>243012-002</v>
          </cell>
          <cell r="B80" t="str">
            <v>16-MB Memory Kit (2x4MB, EDO SiMMs, 60ns)</v>
          </cell>
          <cell r="C80">
            <v>72</v>
          </cell>
        </row>
        <row r="81">
          <cell r="A81" t="str">
            <v>278797-B21</v>
          </cell>
          <cell r="B81" t="str">
            <v>256KB L2 Cache Memory kit</v>
          </cell>
          <cell r="C81">
            <v>25</v>
          </cell>
        </row>
        <row r="82">
          <cell r="A82" t="str">
            <v>SDRAM &amp; SDRAM ECC</v>
          </cell>
        </row>
        <row r="83">
          <cell r="A83" t="str">
            <v>243013-002</v>
          </cell>
          <cell r="B83" t="str">
            <v>32-MB Memory Kit (2x4MB, EDO SiMMs, 60ns)</v>
          </cell>
          <cell r="C83">
            <v>126</v>
          </cell>
        </row>
        <row r="84">
          <cell r="A84" t="str">
            <v>243014-002</v>
          </cell>
          <cell r="B84" t="str">
            <v>64-MB Memory Kit (2x4MB, EDO SiMMs, 60ns)</v>
          </cell>
          <cell r="C84">
            <v>205.1</v>
          </cell>
        </row>
        <row r="85">
          <cell r="A85" t="str">
            <v>270840-B21</v>
          </cell>
          <cell r="B85" t="str">
            <v>16MB SDRAM DIMM Memory Kit (ECC)</v>
          </cell>
          <cell r="C85">
            <v>83</v>
          </cell>
        </row>
        <row r="86">
          <cell r="A86" t="str">
            <v>270841-B21</v>
          </cell>
          <cell r="B86" t="str">
            <v>32MB SDRAM DIMM Memory Kit (ECC)</v>
          </cell>
          <cell r="C86">
            <v>128.91999999999999</v>
          </cell>
        </row>
        <row r="87">
          <cell r="A87" t="str">
            <v>270842-B21</v>
          </cell>
          <cell r="B87" t="str">
            <v>64MB SDRAM DIMM Memory Kit (ECC)</v>
          </cell>
          <cell r="C87">
            <v>257.47938461538462</v>
          </cell>
        </row>
        <row r="88">
          <cell r="A88" t="str">
            <v>270843-B21</v>
          </cell>
          <cell r="B88" t="str">
            <v>128MB SDRAM DIMM Memory Kit (ECC)</v>
          </cell>
          <cell r="C88">
            <v>450.60776119402982</v>
          </cell>
        </row>
        <row r="89">
          <cell r="A89" t="str">
            <v>242802-B21</v>
          </cell>
          <cell r="B89" t="str">
            <v>8MB SDRAM DIMM Memory Kit</v>
          </cell>
          <cell r="C89">
            <v>45.122</v>
          </cell>
        </row>
        <row r="90">
          <cell r="A90" t="str">
            <v>242803-B21</v>
          </cell>
          <cell r="B90" t="str">
            <v>16MB SDRAM DIMM Memory Kit</v>
          </cell>
          <cell r="C90">
            <v>72</v>
          </cell>
        </row>
        <row r="91">
          <cell r="A91" t="str">
            <v>242804-B21</v>
          </cell>
          <cell r="B91" t="str">
            <v>32MB SDRAM DIMM Memory Kit</v>
          </cell>
          <cell r="C91">
            <v>126</v>
          </cell>
        </row>
        <row r="92">
          <cell r="A92" t="str">
            <v>242805-B21</v>
          </cell>
          <cell r="B92" t="str">
            <v>64MB SDRAM DIMM Memory Kit</v>
          </cell>
          <cell r="C92">
            <v>213.30399999999997</v>
          </cell>
        </row>
        <row r="93">
          <cell r="A93" t="str">
            <v>270812-B21</v>
          </cell>
          <cell r="B93" t="str">
            <v>128MB SDRAM DIMM Memory Kit</v>
          </cell>
          <cell r="C93">
            <v>411.46215384615385</v>
          </cell>
        </row>
        <row r="94">
          <cell r="A94" t="str">
            <v>166611-B21</v>
          </cell>
          <cell r="B94" t="str">
            <v>16MB SDRAM 100MHz DIMM</v>
          </cell>
          <cell r="C94">
            <v>73</v>
          </cell>
        </row>
        <row r="95">
          <cell r="A95" t="str">
            <v>166612-B21</v>
          </cell>
          <cell r="B95" t="str">
            <v>32MB SDRAM 100MHz DIMM</v>
          </cell>
          <cell r="C95">
            <v>131</v>
          </cell>
        </row>
        <row r="96">
          <cell r="A96" t="str">
            <v>166613-B21</v>
          </cell>
          <cell r="B96" t="str">
            <v>64MB SDRAM 100MHz DIMM</v>
          </cell>
          <cell r="C96">
            <v>237.0044444444444</v>
          </cell>
        </row>
        <row r="97">
          <cell r="A97" t="str">
            <v>166614-B21</v>
          </cell>
          <cell r="B97" t="str">
            <v>128MB SDRAM 100MHz DIMM</v>
          </cell>
          <cell r="C97">
            <v>427.12888888888892</v>
          </cell>
        </row>
        <row r="98">
          <cell r="A98" t="str">
            <v>166615-B21</v>
          </cell>
          <cell r="B98" t="str">
            <v>16MB SDRAM 100MHz DIMM ECC</v>
          </cell>
          <cell r="C98">
            <v>86</v>
          </cell>
        </row>
        <row r="99">
          <cell r="A99" t="str">
            <v>166616-B21</v>
          </cell>
          <cell r="B99" t="str">
            <v xml:space="preserve">32MB SDRAM 100MHz DIMM ECC </v>
          </cell>
          <cell r="C99">
            <v>149</v>
          </cell>
        </row>
        <row r="100">
          <cell r="A100" t="str">
            <v>166617-B21</v>
          </cell>
          <cell r="B100" t="str">
            <v>64MB SDRAM 100MHz DIMM ECC</v>
          </cell>
          <cell r="C100">
            <v>280</v>
          </cell>
        </row>
        <row r="101">
          <cell r="A101" t="str">
            <v>166618-B21</v>
          </cell>
          <cell r="B101" t="str">
            <v>128MB SDRAM 100MHz DIMM ECC</v>
          </cell>
          <cell r="C101">
            <v>486.94709677419354</v>
          </cell>
        </row>
        <row r="102">
          <cell r="A102" t="str">
            <v>Mouse Kits</v>
          </cell>
        </row>
        <row r="103">
          <cell r="A103" t="str">
            <v>143315-B21</v>
          </cell>
          <cell r="B103" t="str">
            <v>Mouse -Opal</v>
          </cell>
          <cell r="C103">
            <v>19.689600000000002</v>
          </cell>
        </row>
        <row r="104">
          <cell r="A104" t="str">
            <v>Tape Drives</v>
          </cell>
        </row>
        <row r="105">
          <cell r="A105" t="str">
            <v>294243-B21</v>
          </cell>
          <cell r="B105" t="str">
            <v>TR5 Tape Drive Kit</v>
          </cell>
          <cell r="C105">
            <v>420</v>
          </cell>
        </row>
        <row r="106">
          <cell r="A106" t="str">
            <v>186703-B25</v>
          </cell>
          <cell r="B106" t="str">
            <v>TR4 Tape Drive -Opal</v>
          </cell>
          <cell r="C106">
            <v>319.95599999999996</v>
          </cell>
        </row>
        <row r="107">
          <cell r="A107" t="str">
            <v>Monitors</v>
          </cell>
        </row>
        <row r="108">
          <cell r="A108" t="str">
            <v>308006-001</v>
          </cell>
          <cell r="B108" t="str">
            <v>V55 15" Color Monitor</v>
          </cell>
          <cell r="C108">
            <v>250</v>
          </cell>
        </row>
        <row r="109">
          <cell r="A109" t="str">
            <v>307710-B24</v>
          </cell>
          <cell r="B109" t="str">
            <v>V75 17"Color Monitor</v>
          </cell>
          <cell r="C109">
            <v>505</v>
          </cell>
        </row>
        <row r="111">
          <cell r="A111" t="str">
            <v>Part Number</v>
          </cell>
          <cell r="B111" t="str">
            <v>Description</v>
          </cell>
          <cell r="C111" t="str">
            <v>K1</v>
          </cell>
        </row>
        <row r="112">
          <cell r="A112" t="str">
            <v>339360-371</v>
          </cell>
          <cell r="B112" t="str">
            <v>ProLiant 400 6/400 512K</v>
          </cell>
          <cell r="C112">
            <v>2776</v>
          </cell>
        </row>
        <row r="113">
          <cell r="A113" t="str">
            <v>339360-372</v>
          </cell>
          <cell r="B113" t="str">
            <v>ProLiant 400 6/400 512K 4.3G</v>
          </cell>
          <cell r="C113">
            <v>3180</v>
          </cell>
        </row>
        <row r="114">
          <cell r="A114" t="str">
            <v>401145-371</v>
          </cell>
          <cell r="B114" t="str">
            <v>ProLiant 5500 XEON 6/450 512K</v>
          </cell>
          <cell r="C114">
            <v>14857</v>
          </cell>
        </row>
        <row r="115">
          <cell r="A115" t="str">
            <v>401146-371</v>
          </cell>
          <cell r="B115" t="str">
            <v>ProLiant 5500 XEON 6/450R 512K</v>
          </cell>
          <cell r="C115">
            <v>15627</v>
          </cell>
        </row>
        <row r="116">
          <cell r="A116" t="str">
            <v>401147-371</v>
          </cell>
          <cell r="B116" t="str">
            <v>ProLiant 5500 XEON 6/450 1M</v>
          </cell>
          <cell r="C116">
            <v>21364</v>
          </cell>
        </row>
        <row r="117">
          <cell r="A117" t="str">
            <v>401148-371</v>
          </cell>
          <cell r="B117" t="str">
            <v>ProLiant 5500 XEON 6/450R 1M</v>
          </cell>
          <cell r="C117">
            <v>21897</v>
          </cell>
        </row>
        <row r="118">
          <cell r="A118" t="str">
            <v>386668-371</v>
          </cell>
          <cell r="B118" t="str">
            <v>ProLiant 6000 XEON 6/450 512K</v>
          </cell>
          <cell r="C118">
            <v>16996</v>
          </cell>
        </row>
        <row r="119">
          <cell r="A119" t="str">
            <v>386669-371</v>
          </cell>
          <cell r="B119" t="str">
            <v>ProLiant 6000 XEON 6/450 2P 1M</v>
          </cell>
          <cell r="C119">
            <v>31202</v>
          </cell>
        </row>
        <row r="120">
          <cell r="A120" t="str">
            <v>179625-371</v>
          </cell>
          <cell r="B120" t="str">
            <v>ProLiant 6500 XEON 6/450R 512K</v>
          </cell>
          <cell r="C120">
            <v>19510</v>
          </cell>
        </row>
        <row r="121">
          <cell r="A121" t="str">
            <v>179640-371</v>
          </cell>
          <cell r="B121" t="str">
            <v>ProLiant 6500 XEON 6/450R 2P 1M</v>
          </cell>
          <cell r="C121">
            <v>30095</v>
          </cell>
        </row>
        <row r="122">
          <cell r="A122" t="str">
            <v>179650-371</v>
          </cell>
          <cell r="B122" t="str">
            <v>ProLiant 6500 XEON 6/450R 2P 2M</v>
          </cell>
          <cell r="C122">
            <v>43235</v>
          </cell>
        </row>
        <row r="123">
          <cell r="A123" t="str">
            <v>386670-371</v>
          </cell>
          <cell r="B123" t="str">
            <v>ProLiant 7000 XEON 6/450R 1M</v>
          </cell>
          <cell r="C123">
            <v>28560</v>
          </cell>
        </row>
        <row r="124">
          <cell r="A124" t="str">
            <v>386671-371</v>
          </cell>
          <cell r="B124" t="str">
            <v>ProLiant 7000 XEON 6/450R 2P 2M</v>
          </cell>
          <cell r="C124">
            <v>49456</v>
          </cell>
        </row>
        <row r="126">
          <cell r="A126" t="str">
            <v>332609-B31</v>
          </cell>
          <cell r="B126" t="str">
            <v>Proliant SCSI Storage Expander II</v>
          </cell>
          <cell r="C126">
            <v>1098</v>
          </cell>
        </row>
        <row r="127">
          <cell r="A127" t="str">
            <v>332607-B31</v>
          </cell>
          <cell r="B127" t="str">
            <v>Proliant SCSI Storage Expander II Rack</v>
          </cell>
          <cell r="C127">
            <v>2039</v>
          </cell>
        </row>
        <row r="128">
          <cell r="A128" t="str">
            <v>348757-B21</v>
          </cell>
          <cell r="B128" t="str">
            <v>Dual Channel Ultra-2 SCSI Controller</v>
          </cell>
          <cell r="C128">
            <v>618</v>
          </cell>
        </row>
        <row r="129">
          <cell r="A129" t="str">
            <v>350365-B31</v>
          </cell>
          <cell r="B129" t="str">
            <v>35/70 GB DLT Library Model 1</v>
          </cell>
          <cell r="C129">
            <v>19900</v>
          </cell>
        </row>
        <row r="130">
          <cell r="A130" t="str">
            <v>350365-B32</v>
          </cell>
          <cell r="B130" t="str">
            <v>35/70 GB DLT Library Model 2</v>
          </cell>
          <cell r="C130">
            <v>30700</v>
          </cell>
        </row>
        <row r="131">
          <cell r="A131" t="str">
            <v>350367-B21</v>
          </cell>
          <cell r="B131" t="str">
            <v>35/70 GB DLT Library Ready Drive</v>
          </cell>
          <cell r="C131">
            <v>10800</v>
          </cell>
        </row>
        <row r="132">
          <cell r="A132" t="str">
            <v>223187-B21</v>
          </cell>
          <cell r="B132" t="str">
            <v>Panther Fibre Channel Array Controller</v>
          </cell>
          <cell r="C132">
            <v>3650</v>
          </cell>
        </row>
        <row r="133">
          <cell r="A133" t="str">
            <v>328812-B21</v>
          </cell>
          <cell r="B133" t="str">
            <v>Xeon 6/450 512 K Processor Kit</v>
          </cell>
          <cell r="C133">
            <v>2600</v>
          </cell>
        </row>
        <row r="134">
          <cell r="A134" t="str">
            <v>328813-B21</v>
          </cell>
          <cell r="B134" t="str">
            <v>Xeon 6/450 1MB Processor Kit</v>
          </cell>
          <cell r="C134">
            <v>5200</v>
          </cell>
        </row>
        <row r="135">
          <cell r="A135" t="str">
            <v>328814-B21</v>
          </cell>
          <cell r="B135" t="str">
            <v>Xeon 6/450 2MB Processor Kit</v>
          </cell>
          <cell r="C135">
            <v>16870</v>
          </cell>
        </row>
        <row r="136">
          <cell r="A136" t="str">
            <v>328254-B21</v>
          </cell>
          <cell r="B136" t="str">
            <v>Xeon/450 512K Slot 2 Processor</v>
          </cell>
          <cell r="C136">
            <v>2600</v>
          </cell>
        </row>
        <row r="137">
          <cell r="A137" t="str">
            <v>328255-B21</v>
          </cell>
          <cell r="B137" t="str">
            <v>Xeon/450 1M Slot 2 Processor</v>
          </cell>
          <cell r="C137">
            <v>5200</v>
          </cell>
        </row>
        <row r="138">
          <cell r="A138" t="str">
            <v>328256-B21</v>
          </cell>
          <cell r="B138" t="str">
            <v>Xeon/450 2M Slot 2 Processor</v>
          </cell>
          <cell r="C138">
            <v>16870</v>
          </cell>
        </row>
        <row r="139">
          <cell r="A139" t="str">
            <v>328718-B21</v>
          </cell>
          <cell r="B139" t="str">
            <v>Xeon/400 1M Slot 2</v>
          </cell>
          <cell r="C139">
            <v>5200</v>
          </cell>
        </row>
        <row r="140">
          <cell r="A140" t="str">
            <v>328976-B21</v>
          </cell>
          <cell r="B140" t="str">
            <v>Xeon/450 512K Slot 2</v>
          </cell>
          <cell r="C140">
            <v>2600</v>
          </cell>
        </row>
        <row r="141">
          <cell r="A141" t="str">
            <v>328977-B21</v>
          </cell>
          <cell r="B141" t="str">
            <v>Xeon/450 1M Slot 2</v>
          </cell>
          <cell r="C141">
            <v>5200</v>
          </cell>
        </row>
        <row r="142">
          <cell r="A142" t="str">
            <v>328978-B21</v>
          </cell>
          <cell r="B142" t="str">
            <v>Xeon/450 2M Slot 2</v>
          </cell>
          <cell r="C142">
            <v>16870</v>
          </cell>
        </row>
        <row r="143">
          <cell r="A143" t="str">
            <v>338707-B21</v>
          </cell>
          <cell r="B143" t="str">
            <v>Richmond Upgrade Kit (PL 6500 Ppro to Xeon)</v>
          </cell>
          <cell r="C143">
            <v>8667</v>
          </cell>
        </row>
        <row r="144">
          <cell r="A144" t="str">
            <v>179766-B21</v>
          </cell>
          <cell r="B144" t="str">
            <v>PL3000 upgrade to 100Mhz FSB</v>
          </cell>
          <cell r="C144">
            <v>1237</v>
          </cell>
        </row>
        <row r="145">
          <cell r="A145" t="str">
            <v>401703-B21</v>
          </cell>
          <cell r="B145" t="str">
            <v>64 MB Unbuffered Registered SDRAM DIMM Kit (1 x 64)</v>
          </cell>
          <cell r="C145">
            <v>396</v>
          </cell>
        </row>
        <row r="146">
          <cell r="A146" t="str">
            <v>401704-B21</v>
          </cell>
          <cell r="B146" t="str">
            <v>128 MB Unbuffered Registered SDRAM DIMM Kit (1 x 128)</v>
          </cell>
          <cell r="C146">
            <v>792</v>
          </cell>
        </row>
        <row r="147">
          <cell r="A147" t="str">
            <v>328948-B21</v>
          </cell>
          <cell r="B147" t="str">
            <v>PL 6500 Xeon Rack to Tower Conversion Kit</v>
          </cell>
          <cell r="C147">
            <v>448</v>
          </cell>
        </row>
        <row r="148">
          <cell r="A148" t="str">
            <v>387798-B21</v>
          </cell>
          <cell r="B148" t="str">
            <v>PLT 800/1200/1600/2500 Tower to Rack conversion kit</v>
          </cell>
          <cell r="C148">
            <v>448</v>
          </cell>
        </row>
        <row r="149">
          <cell r="A149" t="str">
            <v>382120-B21</v>
          </cell>
          <cell r="B149" t="str">
            <v>Oracle Parallel Database Cluster Kit - E/NET</v>
          </cell>
          <cell r="C149">
            <v>4307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서1"/>
      <sheetName val="견적서2"/>
      <sheetName val="사전사후1"/>
      <sheetName val="사전사후2"/>
      <sheetName val="model master"/>
    </sheetNames>
    <sheetDataSet>
      <sheetData sheetId="0"/>
      <sheetData sheetId="1"/>
      <sheetData sheetId="2"/>
      <sheetData sheetId="3"/>
      <sheetData sheetId="4">
        <row r="2">
          <cell r="A2" t="str">
            <v>292980-371</v>
          </cell>
          <cell r="B2" t="str">
            <v>CPU</v>
          </cell>
          <cell r="C2">
            <v>234</v>
          </cell>
          <cell r="D2" t="str">
            <v xml:space="preserve">COMPAQ ProSignia 200 </v>
          </cell>
          <cell r="E2" t="str">
            <v>- Pentium II 6/233MHz  Processor</v>
          </cell>
          <cell r="F2" t="str">
            <v>- 32MB EDO SIMM  Memory</v>
          </cell>
          <cell r="G2" t="str">
            <v>- NO HDD</v>
          </cell>
          <cell r="H2" t="str">
            <v>- 고속 512KB  cache</v>
          </cell>
          <cell r="I2" t="str">
            <v>- PCI System Arch</v>
          </cell>
          <cell r="J2" t="str">
            <v>- 3.5" 1.44MB FDD</v>
          </cell>
          <cell r="K2" t="str">
            <v>- 16X CD-ROM Drive</v>
          </cell>
          <cell r="L2" t="str">
            <v>- 3 PCI, 1 ISA, 1 PCI/ISA Slot</v>
          </cell>
          <cell r="M2" t="str">
            <v>- 내장 Netelligent 10/100 TX PCI UTP Controller</v>
          </cell>
          <cell r="R2">
            <v>3333100</v>
          </cell>
        </row>
        <row r="3">
          <cell r="A3" t="str">
            <v>292970-372</v>
          </cell>
          <cell r="D3" t="str">
            <v xml:space="preserve">COMPAQ ProSignia 200 </v>
          </cell>
          <cell r="E3" t="str">
            <v>- Pentium II 6/233MHz  Processor</v>
          </cell>
          <cell r="F3" t="str">
            <v>- 32MB EDO SIMM  Memory</v>
          </cell>
          <cell r="G3" t="str">
            <v>- 3.2 GB HDD</v>
          </cell>
          <cell r="H3" t="str">
            <v>- 고속 512KB  cache</v>
          </cell>
          <cell r="I3" t="str">
            <v>- PCI System Arch</v>
          </cell>
          <cell r="J3" t="str">
            <v>- 3.5" 1.44MB FDD</v>
          </cell>
          <cell r="K3" t="str">
            <v>- 16X CD-ROM Drive</v>
          </cell>
          <cell r="L3" t="str">
            <v>- 3 PCI, 1 ISA, 1 PCI/ISA Slot</v>
          </cell>
          <cell r="M3" t="str">
            <v>- 내장 Netelligent 10/100 TX PCI UTP Controller</v>
          </cell>
          <cell r="R3">
            <v>4445000</v>
          </cell>
        </row>
        <row r="4">
          <cell r="A4" t="str">
            <v>312350-371</v>
          </cell>
          <cell r="D4" t="str">
            <v xml:space="preserve">COMPAQ ProSignia 200 </v>
          </cell>
          <cell r="E4" t="str">
            <v>- Pentium II 6/266MHz  Processor</v>
          </cell>
          <cell r="F4" t="str">
            <v>- 32MB ECC SIMM Memory</v>
          </cell>
          <cell r="G4" t="str">
            <v>- NO HDD</v>
          </cell>
          <cell r="H4" t="str">
            <v>- 고속 512KB  cache</v>
          </cell>
          <cell r="I4" t="str">
            <v>- PCI System Arch</v>
          </cell>
          <cell r="J4" t="str">
            <v>- 3.5" 1.44MB FDD</v>
          </cell>
          <cell r="K4" t="str">
            <v>- 16X CD-ROM Drive</v>
          </cell>
          <cell r="L4" t="str">
            <v>- 3 PCI, 1 ISA, 1 PCI/ISA Slot</v>
          </cell>
          <cell r="M4" t="str">
            <v>- 내장 Netelligent 10/100 TX PCI UTP Controller</v>
          </cell>
          <cell r="R4">
            <v>3971000</v>
          </cell>
        </row>
        <row r="5">
          <cell r="A5" t="str">
            <v>312350-372</v>
          </cell>
          <cell r="D5" t="str">
            <v xml:space="preserve">COMPAQ ProSignia 200 </v>
          </cell>
          <cell r="E5" t="str">
            <v>- Pentium II 6/266MHz  Processor</v>
          </cell>
          <cell r="F5" t="str">
            <v>- 32MB ECC SIMM Memory</v>
          </cell>
          <cell r="G5" t="str">
            <v>- 4.3 GB HDD</v>
          </cell>
          <cell r="H5" t="str">
            <v>- 고속 512KB  cache</v>
          </cell>
          <cell r="I5" t="str">
            <v>- PCI System Arch</v>
          </cell>
          <cell r="J5" t="str">
            <v>- 3.5" 1.44MB FDD</v>
          </cell>
          <cell r="K5" t="str">
            <v>- 16X CD-ROM Drive</v>
          </cell>
          <cell r="L5" t="str">
            <v>- 3 PCI, 1 ISA, 1 PCI/ISA Slot</v>
          </cell>
          <cell r="M5" t="str">
            <v>- 내장 Netelligent 10/100 TX PCI UTP Controller</v>
          </cell>
          <cell r="R5">
            <v>4901000</v>
          </cell>
        </row>
        <row r="6">
          <cell r="A6" t="str">
            <v>332510-371</v>
          </cell>
          <cell r="D6" t="str">
            <v xml:space="preserve">COMPAQ ProSignia 200 </v>
          </cell>
          <cell r="E6" t="str">
            <v>- Pentium II 6/300MHz  Processor</v>
          </cell>
          <cell r="F6" t="str">
            <v>- 32MB ECC SIMM Memory</v>
          </cell>
          <cell r="G6" t="str">
            <v>- NO HDD</v>
          </cell>
          <cell r="H6" t="str">
            <v>- 고속 512KB  cache</v>
          </cell>
          <cell r="I6" t="str">
            <v>- PCI System Arch</v>
          </cell>
          <cell r="J6" t="str">
            <v>- 3.5" 1.44MB FDD</v>
          </cell>
          <cell r="K6" t="str">
            <v>- 16X CD-ROM Drive</v>
          </cell>
          <cell r="L6" t="str">
            <v>- 3 PCI, 1 ISA, 1 PCI/ISA Slot</v>
          </cell>
          <cell r="M6" t="str">
            <v>- 내장 Netelligent 10/100 TX PCI UTP Controller</v>
          </cell>
          <cell r="R6">
            <v>6851000</v>
          </cell>
        </row>
        <row r="7">
          <cell r="A7" t="str">
            <v>332510-372</v>
          </cell>
          <cell r="D7" t="str">
            <v xml:space="preserve">COMPAQ ProSignia 200 </v>
          </cell>
          <cell r="E7" t="str">
            <v>- Pentium II 6/300MHz  Processor</v>
          </cell>
          <cell r="F7" t="str">
            <v>- 32MB ECC SIMM Memory</v>
          </cell>
          <cell r="G7" t="str">
            <v>- 4.3 GB HDD</v>
          </cell>
          <cell r="H7" t="str">
            <v>- 고속 512KB  cache</v>
          </cell>
          <cell r="I7" t="str">
            <v>- PCI System Arch</v>
          </cell>
          <cell r="J7" t="str">
            <v>- 3.5" 1.44MB FDD</v>
          </cell>
          <cell r="K7" t="str">
            <v>- 16X CD-ROM Drive</v>
          </cell>
          <cell r="L7" t="str">
            <v>- 3 PCI, 1 ISA, 1 PCI/ISA Slot</v>
          </cell>
          <cell r="M7" t="str">
            <v>- 내장 Netelligent 10/100 TX PCI UTP Controller</v>
          </cell>
          <cell r="R7">
            <v>8472000</v>
          </cell>
        </row>
        <row r="8">
          <cell r="A8" t="str">
            <v>146742-004</v>
          </cell>
          <cell r="B8" t="str">
            <v>HDD</v>
          </cell>
          <cell r="C8">
            <v>123</v>
          </cell>
          <cell r="D8" t="str">
            <v>2.1 GB Pluggable Fast SCSI-2(1.6") Drive</v>
          </cell>
          <cell r="R8">
            <v>1427000</v>
          </cell>
        </row>
        <row r="9">
          <cell r="A9" t="str">
            <v>242583-001</v>
          </cell>
          <cell r="B9" t="str">
            <v>HDD</v>
          </cell>
          <cell r="D9" t="str">
            <v>2.1 GB Pluggable Wide Ultra SCSI-3(1.0") Drive</v>
          </cell>
          <cell r="R9">
            <v>1427000</v>
          </cell>
        </row>
        <row r="10">
          <cell r="A10" t="str">
            <v>146742-005</v>
          </cell>
          <cell r="D10" t="str">
            <v>4.3 GB Pluggable Fast SCSI-2(1.6") Drive</v>
          </cell>
          <cell r="R10">
            <v>2065000</v>
          </cell>
        </row>
        <row r="11">
          <cell r="A11" t="str">
            <v>272577-001</v>
          </cell>
          <cell r="D11" t="str">
            <v>4.3 GB Pluggable Wide Ultra SCSI-3(1.0") Drive</v>
          </cell>
          <cell r="R11">
            <v>2065000</v>
          </cell>
        </row>
        <row r="12">
          <cell r="A12" t="str">
            <v>304859-B21</v>
          </cell>
          <cell r="D12" t="str">
            <v>4.3 GB Pluggable Wide Ultra 10K SCSI-3(1.0") Drive</v>
          </cell>
          <cell r="R12">
            <v>2421000</v>
          </cell>
        </row>
        <row r="13">
          <cell r="A13" t="str">
            <v>199882-001</v>
          </cell>
          <cell r="D13" t="str">
            <v>9.1 GB Pluggable Wide Ultra SCSI-3(1.6") Drive</v>
          </cell>
          <cell r="R13">
            <v>3388000</v>
          </cell>
        </row>
        <row r="14">
          <cell r="A14" t="str">
            <v>313706-B21</v>
          </cell>
          <cell r="D14" t="str">
            <v>9.1 GB Pluggable Wide Ultra SCSI-3(1.0") Drive</v>
          </cell>
          <cell r="R14">
            <v>3388000</v>
          </cell>
        </row>
        <row r="15">
          <cell r="A15" t="str">
            <v>304865-B21</v>
          </cell>
          <cell r="D15" t="str">
            <v>9.1 GB Pluggable Wide Ultra 10K SCSI-3(1.6") Drive</v>
          </cell>
          <cell r="R15">
            <v>4022000</v>
          </cell>
        </row>
        <row r="16">
          <cell r="A16" t="str">
            <v>313756-B21</v>
          </cell>
          <cell r="D16" t="str">
            <v>18.2 GB Pluggable Wide Ultra SCSI-3(1.6") Drive</v>
          </cell>
          <cell r="R16">
            <v>7053000</v>
          </cell>
        </row>
        <row r="17">
          <cell r="A17" t="str">
            <v>273736-B21</v>
          </cell>
          <cell r="D17" t="str">
            <v>1.6 GB IDE Hard Drive</v>
          </cell>
          <cell r="R17">
            <v>719000</v>
          </cell>
        </row>
        <row r="18">
          <cell r="A18" t="str">
            <v>273737-B21</v>
          </cell>
          <cell r="D18" t="str">
            <v>2.5 GB IDE Hard Drive</v>
          </cell>
          <cell r="R18">
            <v>768000</v>
          </cell>
        </row>
        <row r="19">
          <cell r="A19" t="str">
            <v>283856-B21</v>
          </cell>
          <cell r="D19" t="str">
            <v>3.8 GB IDE Hard Drive</v>
          </cell>
          <cell r="R19">
            <v>1124000</v>
          </cell>
        </row>
        <row r="20">
          <cell r="A20" t="str">
            <v>312372-B21</v>
          </cell>
          <cell r="D20" t="str">
            <v>3.2 GB IDE Hard Drive</v>
          </cell>
          <cell r="R20">
            <v>882000</v>
          </cell>
        </row>
        <row r="21">
          <cell r="A21" t="str">
            <v>312361-B21</v>
          </cell>
          <cell r="D21" t="str">
            <v>5.2 GB IDE Hard Drive</v>
          </cell>
          <cell r="R21">
            <v>1252000</v>
          </cell>
        </row>
        <row r="22">
          <cell r="A22" t="str">
            <v>142216-001</v>
          </cell>
          <cell r="D22" t="str">
            <v>2.1 GB Fast SCSI-2(1.6") Drive</v>
          </cell>
          <cell r="R22">
            <v>1246000</v>
          </cell>
        </row>
        <row r="23">
          <cell r="A23" t="str">
            <v>242586-001</v>
          </cell>
          <cell r="D23" t="str">
            <v>2.1 GB Wide Ultra SCSI(1.0") Drive</v>
          </cell>
          <cell r="R23">
            <v>1246000</v>
          </cell>
        </row>
        <row r="24">
          <cell r="A24" t="str">
            <v>199580-001</v>
          </cell>
          <cell r="D24" t="str">
            <v>4.3 GB Fast SCSI-2(1.6") Drive</v>
          </cell>
          <cell r="R24">
            <v>1883000</v>
          </cell>
        </row>
        <row r="25">
          <cell r="A25" t="str">
            <v>242584-001</v>
          </cell>
          <cell r="D25" t="str">
            <v>4.3 GB Wide Ultra SCSI(1.0") Drive</v>
          </cell>
          <cell r="R25">
            <v>1883000</v>
          </cell>
        </row>
        <row r="26">
          <cell r="A26" t="str">
            <v>304858-B01</v>
          </cell>
          <cell r="D26" t="str">
            <v>4.3 GB Wide Ultra 10K SCSI-3(1.0") Drive</v>
          </cell>
          <cell r="R26">
            <v>2239000</v>
          </cell>
        </row>
        <row r="27">
          <cell r="A27" t="str">
            <v>199883-001</v>
          </cell>
          <cell r="D27" t="str">
            <v>9.1 GB Fast SCSI-2(1.6") Drive</v>
          </cell>
          <cell r="R27">
            <v>3206000</v>
          </cell>
        </row>
        <row r="28">
          <cell r="A28" t="str">
            <v>199884-001</v>
          </cell>
          <cell r="D28" t="str">
            <v>9.1 GB Wide Ultra SCSI(1.0") Drive</v>
          </cell>
          <cell r="R28">
            <v>3206000</v>
          </cell>
        </row>
        <row r="29">
          <cell r="A29" t="str">
            <v>313707-B21</v>
          </cell>
          <cell r="D29" t="str">
            <v>9.1 GB Wide Ultra  SCSI-3(1.0") Drive</v>
          </cell>
          <cell r="R29">
            <v>3206000</v>
          </cell>
        </row>
        <row r="30">
          <cell r="A30" t="str">
            <v>304864-B21</v>
          </cell>
          <cell r="D30" t="str">
            <v>9.1 GB Wide Ultra 10K SCSI-3(1.6") Drive</v>
          </cell>
          <cell r="R30">
            <v>3841000</v>
          </cell>
        </row>
        <row r="31">
          <cell r="A31" t="str">
            <v>304114-B31</v>
          </cell>
          <cell r="D31" t="str">
            <v>PLT Storage System/U model 1 (Single Bus)</v>
          </cell>
          <cell r="R31">
            <v>268800</v>
          </cell>
        </row>
        <row r="32">
          <cell r="A32" t="str">
            <v>304114-B32</v>
          </cell>
          <cell r="D32" t="str">
            <v>PLT Storage System/U model 2 (Dual Bus)</v>
          </cell>
          <cell r="R32">
            <v>3270000</v>
          </cell>
        </row>
        <row r="33">
          <cell r="A33" t="str">
            <v>304104-B31</v>
          </cell>
          <cell r="D33" t="str">
            <v>PLT Storage System Rack model 1 (Single Bus)</v>
          </cell>
          <cell r="R33">
            <v>3136000</v>
          </cell>
        </row>
        <row r="34">
          <cell r="A34" t="str">
            <v>304104-B32</v>
          </cell>
          <cell r="D34" t="str">
            <v>PLT Storage System Rack model 2 (Dual Bus)</v>
          </cell>
          <cell r="R34">
            <v>3718000</v>
          </cell>
        </row>
        <row r="35">
          <cell r="A35" t="str">
            <v>304115-B21</v>
          </cell>
          <cell r="D35" t="str">
            <v>PLT Storage System/U Dual Bus to Single Bus Conversion Kit</v>
          </cell>
          <cell r="O35" t="str">
            <v xml:space="preserve"> </v>
          </cell>
          <cell r="P35" t="str">
            <v xml:space="preserve"> </v>
          </cell>
          <cell r="Q35" t="str">
            <v xml:space="preserve"> </v>
          </cell>
          <cell r="R35">
            <v>1455000</v>
          </cell>
        </row>
        <row r="36">
          <cell r="A36" t="str">
            <v>304116-B21</v>
          </cell>
          <cell r="D36" t="str">
            <v>PLT Storage System/U Single Bus to Dual Bus Conversion Kit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>
            <v>1455000</v>
          </cell>
        </row>
        <row r="37">
          <cell r="A37" t="str">
            <v>304148-B21</v>
          </cell>
          <cell r="D37" t="str">
            <v>PLT Storage System/F to /U Upgrade Kit (Single Bus)</v>
          </cell>
          <cell r="O37" t="str">
            <v xml:space="preserve"> </v>
          </cell>
          <cell r="P37" t="str">
            <v xml:space="preserve"> </v>
          </cell>
          <cell r="Q37" t="str">
            <v xml:space="preserve"> </v>
          </cell>
          <cell r="R37">
            <v>509000</v>
          </cell>
        </row>
        <row r="38">
          <cell r="A38" t="str">
            <v>304149-B21</v>
          </cell>
          <cell r="D38" t="str">
            <v>PLT Storage System/F to /U Upgrade Kit (Dual Bus)</v>
          </cell>
          <cell r="O38" t="str">
            <v xml:space="preserve"> </v>
          </cell>
          <cell r="P38" t="str">
            <v xml:space="preserve"> </v>
          </cell>
          <cell r="Q38" t="str">
            <v xml:space="preserve"> </v>
          </cell>
          <cell r="R38">
            <v>764000</v>
          </cell>
        </row>
        <row r="39">
          <cell r="A39" t="str">
            <v>272891-001</v>
          </cell>
          <cell r="D39" t="str">
            <v>PLT Storage System/U/F Tower to Rack Conversion Kit</v>
          </cell>
          <cell r="O39" t="str">
            <v xml:space="preserve"> </v>
          </cell>
          <cell r="P39" t="str">
            <v xml:space="preserve"> </v>
          </cell>
          <cell r="Q39" t="str">
            <v xml:space="preserve"> </v>
          </cell>
          <cell r="R39">
            <v>764000</v>
          </cell>
        </row>
        <row r="40">
          <cell r="A40" t="str">
            <v>224214-001</v>
          </cell>
          <cell r="D40" t="str">
            <v>PLT Storage System/U/F Redundant Power Supply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R40">
            <v>1273000</v>
          </cell>
        </row>
        <row r="41">
          <cell r="A41" t="str">
            <v>189640-001</v>
          </cell>
          <cell r="D41" t="str">
            <v>PLT Storage System</v>
          </cell>
          <cell r="O41" t="str">
            <v xml:space="preserve"> </v>
          </cell>
          <cell r="P41" t="str">
            <v xml:space="preserve"> </v>
          </cell>
          <cell r="Q41" t="str">
            <v xml:space="preserve"> </v>
          </cell>
          <cell r="R41">
            <v>2035000</v>
          </cell>
        </row>
        <row r="42">
          <cell r="A42" t="str">
            <v>189905-001</v>
          </cell>
          <cell r="D42" t="str">
            <v>Rack Mount Proliant Storage System</v>
          </cell>
          <cell r="O42" t="str">
            <v xml:space="preserve"> </v>
          </cell>
          <cell r="P42" t="str">
            <v xml:space="preserve"> </v>
          </cell>
          <cell r="Q42" t="str">
            <v xml:space="preserve"> </v>
          </cell>
          <cell r="R42">
            <v>2544000</v>
          </cell>
        </row>
        <row r="43">
          <cell r="A43" t="str">
            <v>272904-001</v>
          </cell>
          <cell r="D43" t="str">
            <v>PLT Storage System/F model 1 (Single Bus)</v>
          </cell>
          <cell r="O43" t="str">
            <v xml:space="preserve"> </v>
          </cell>
          <cell r="P43" t="str">
            <v xml:space="preserve"> </v>
          </cell>
          <cell r="Q43" t="str">
            <v xml:space="preserve"> </v>
          </cell>
          <cell r="R43">
            <v>2688000</v>
          </cell>
        </row>
        <row r="44">
          <cell r="A44" t="str">
            <v>272904-002</v>
          </cell>
          <cell r="D44" t="str">
            <v>PLT Storage System/F model 2 (Dual Bus)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  <cell r="R44">
            <v>3270000</v>
          </cell>
        </row>
        <row r="45">
          <cell r="A45" t="str">
            <v>272804-001</v>
          </cell>
          <cell r="D45" t="str">
            <v>PLT Storage System Rack Model F1 (Single Bus)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R45">
            <v>3136000</v>
          </cell>
        </row>
        <row r="46">
          <cell r="A46" t="str">
            <v>272804-002</v>
          </cell>
          <cell r="D46" t="str">
            <v>PLT Storage System Rack Model F2 (Dual Bus)</v>
          </cell>
          <cell r="O46" t="str">
            <v xml:space="preserve"> </v>
          </cell>
          <cell r="P46" t="str">
            <v xml:space="preserve"> </v>
          </cell>
          <cell r="Q46" t="str">
            <v xml:space="preserve"> </v>
          </cell>
          <cell r="R46">
            <v>3718000</v>
          </cell>
        </row>
        <row r="47">
          <cell r="A47" t="str">
            <v>272826-001</v>
          </cell>
          <cell r="D47" t="str">
            <v>PLT Storage System/F Dual Bus to Single Bus Conversion Kit</v>
          </cell>
          <cell r="O47" t="str">
            <v xml:space="preserve"> </v>
          </cell>
          <cell r="P47" t="str">
            <v xml:space="preserve"> </v>
          </cell>
          <cell r="Q47" t="str">
            <v xml:space="preserve"> </v>
          </cell>
          <cell r="R47">
            <v>1120000</v>
          </cell>
        </row>
        <row r="48">
          <cell r="A48" t="str">
            <v>272830-001</v>
          </cell>
          <cell r="D48" t="str">
            <v>PLT Storage System/F Single Bus to Dual Bus Conversion Kit</v>
          </cell>
          <cell r="O48" t="str">
            <v xml:space="preserve"> </v>
          </cell>
          <cell r="P48" t="str">
            <v xml:space="preserve"> </v>
          </cell>
          <cell r="Q48" t="str">
            <v xml:space="preserve"> </v>
          </cell>
          <cell r="R48">
            <v>1120000</v>
          </cell>
        </row>
        <row r="49">
          <cell r="A49" t="str">
            <v>272891-001</v>
          </cell>
          <cell r="D49" t="str">
            <v>PLT Storage System/F Tower to Rack Conversion Kit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>
            <v>672000</v>
          </cell>
        </row>
        <row r="50">
          <cell r="A50" t="str">
            <v>224214-001</v>
          </cell>
          <cell r="D50" t="str">
            <v>PLT Storage System/F Pluggable RPS Option</v>
          </cell>
          <cell r="O50" t="str">
            <v xml:space="preserve"> </v>
          </cell>
          <cell r="P50" t="str">
            <v xml:space="preserve"> </v>
          </cell>
          <cell r="Q50" t="str">
            <v xml:space="preserve"> </v>
          </cell>
          <cell r="R50">
            <v>1120000</v>
          </cell>
        </row>
        <row r="51">
          <cell r="A51" t="str">
            <v>197125-001</v>
          </cell>
          <cell r="D51" t="str">
            <v>PLT Duplexing Option</v>
          </cell>
          <cell r="O51" t="str">
            <v xml:space="preserve"> </v>
          </cell>
          <cell r="P51" t="str">
            <v xml:space="preserve"> </v>
          </cell>
          <cell r="Q51" t="str">
            <v xml:space="preserve"> </v>
          </cell>
          <cell r="R51">
            <v>481000</v>
          </cell>
        </row>
        <row r="52">
          <cell r="A52" t="str">
            <v>199614-001</v>
          </cell>
          <cell r="D52" t="str">
            <v>PLT Fast-Wide Duplexing Option</v>
          </cell>
          <cell r="O52" t="str">
            <v xml:space="preserve"> </v>
          </cell>
          <cell r="P52" t="str">
            <v xml:space="preserve"> </v>
          </cell>
          <cell r="Q52" t="str">
            <v xml:space="preserve"> </v>
          </cell>
          <cell r="R52">
            <v>650000</v>
          </cell>
        </row>
        <row r="53">
          <cell r="A53" t="str">
            <v>264368-001</v>
          </cell>
          <cell r="D53" t="str">
            <v>Duplexing Drive Cage Option Kit for PL 1.2K, 2.5K</v>
          </cell>
          <cell r="O53" t="str">
            <v xml:space="preserve"> </v>
          </cell>
          <cell r="P53" t="str">
            <v xml:space="preserve"> </v>
          </cell>
          <cell r="Q53" t="str">
            <v xml:space="preserve"> </v>
          </cell>
          <cell r="R53">
            <v>1018000</v>
          </cell>
        </row>
        <row r="54">
          <cell r="A54" t="str">
            <v>142185-001</v>
          </cell>
          <cell r="D54" t="str">
            <v>Compaq SCSI Storage Expander</v>
          </cell>
          <cell r="O54" t="str">
            <v xml:space="preserve"> </v>
          </cell>
          <cell r="P54" t="str">
            <v xml:space="preserve"> </v>
          </cell>
          <cell r="Q54" t="str">
            <v xml:space="preserve"> </v>
          </cell>
          <cell r="R54">
            <v>546000</v>
          </cell>
        </row>
        <row r="55">
          <cell r="A55" t="str">
            <v>165620-001</v>
          </cell>
          <cell r="D55" t="str">
            <v>Rack Mount SCSI Storage Expander</v>
          </cell>
          <cell r="O55" t="str">
            <v xml:space="preserve"> </v>
          </cell>
          <cell r="P55" t="str">
            <v xml:space="preserve"> </v>
          </cell>
          <cell r="Q55" t="str">
            <v xml:space="preserve"> </v>
          </cell>
          <cell r="R55">
            <v>1507000</v>
          </cell>
        </row>
        <row r="56">
          <cell r="A56" t="str">
            <v>194751-001</v>
          </cell>
          <cell r="D56" t="str">
            <v>SMART-2/E Arrary Controller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>
            <v>3623000</v>
          </cell>
        </row>
        <row r="57">
          <cell r="A57" t="str">
            <v>242776-B21</v>
          </cell>
          <cell r="D57" t="str">
            <v>SMART-2SL Arrary Controller</v>
          </cell>
          <cell r="O57" t="str">
            <v xml:space="preserve"> </v>
          </cell>
          <cell r="P57" t="str">
            <v xml:space="preserve"> </v>
          </cell>
          <cell r="Q57" t="str">
            <v xml:space="preserve"> </v>
          </cell>
          <cell r="R57">
            <v>1425000</v>
          </cell>
        </row>
        <row r="58">
          <cell r="A58" t="str">
            <v>295242-B21</v>
          </cell>
          <cell r="D58" t="str">
            <v>SMART-2DH Arrary Controller (Dazzler-2)</v>
          </cell>
          <cell r="O58" t="str">
            <v xml:space="preserve"> </v>
          </cell>
          <cell r="P58" t="str">
            <v xml:space="preserve"> </v>
          </cell>
          <cell r="Q58" t="str">
            <v xml:space="preserve"> </v>
          </cell>
          <cell r="R58">
            <v>3623000</v>
          </cell>
        </row>
        <row r="59">
          <cell r="A59" t="str">
            <v>295352-B21</v>
          </cell>
          <cell r="D59" t="str">
            <v>16MB Cache Upgrade Kit for SNART-2/P Arrary Controller</v>
          </cell>
          <cell r="O59" t="str">
            <v xml:space="preserve"> </v>
          </cell>
          <cell r="P59" t="str">
            <v xml:space="preserve"> </v>
          </cell>
          <cell r="Q59" t="str">
            <v xml:space="preserve"> </v>
          </cell>
          <cell r="R59">
            <v>1222000</v>
          </cell>
        </row>
        <row r="60">
          <cell r="A60" t="str">
            <v>142290-001</v>
          </cell>
          <cell r="D60" t="str">
            <v>32bit Fast &amp; Wide SCSI-2/E Controller</v>
          </cell>
          <cell r="O60" t="str">
            <v xml:space="preserve"> </v>
          </cell>
          <cell r="P60" t="str">
            <v xml:space="preserve"> </v>
          </cell>
          <cell r="Q60" t="str">
            <v xml:space="preserve"> </v>
          </cell>
          <cell r="R60">
            <v>571000</v>
          </cell>
        </row>
        <row r="61">
          <cell r="A61" t="str">
            <v>272514-001</v>
          </cell>
          <cell r="D61" t="str">
            <v>32 bit Wide Ultra SCSI/P Controller</v>
          </cell>
          <cell r="O61" t="str">
            <v xml:space="preserve"> </v>
          </cell>
          <cell r="P61" t="str">
            <v xml:space="preserve"> </v>
          </cell>
          <cell r="Q61" t="str">
            <v xml:space="preserve"> </v>
          </cell>
          <cell r="R61">
            <v>571000</v>
          </cell>
        </row>
        <row r="62">
          <cell r="A62" t="str">
            <v>295554-B21</v>
          </cell>
          <cell r="D62" t="str">
            <v>Dual Channel PCI Wide Ultra SCSI-3 Controller</v>
          </cell>
          <cell r="O62" t="str">
            <v xml:space="preserve"> </v>
          </cell>
          <cell r="P62" t="str">
            <v xml:space="preserve"> </v>
          </cell>
          <cell r="Q62" t="str">
            <v xml:space="preserve"> </v>
          </cell>
          <cell r="R62">
            <v>864000</v>
          </cell>
        </row>
        <row r="63">
          <cell r="A63" t="str">
            <v>213817-001</v>
          </cell>
          <cell r="D63" t="str">
            <v>Recovery Server Option Kit (for PL Storage Sys)</v>
          </cell>
          <cell r="O63" t="str">
            <v xml:space="preserve"> </v>
          </cell>
          <cell r="P63" t="str">
            <v xml:space="preserve"> </v>
          </cell>
          <cell r="Q63" t="str">
            <v xml:space="preserve"> </v>
          </cell>
          <cell r="R63">
            <v>2311000</v>
          </cell>
        </row>
        <row r="64">
          <cell r="A64" t="str">
            <v>272829-001</v>
          </cell>
          <cell r="D64" t="str">
            <v>Recovery Server Option Kit (for PL Storage Sys/F)</v>
          </cell>
          <cell r="O64" t="str">
            <v xml:space="preserve"> </v>
          </cell>
          <cell r="P64" t="str">
            <v xml:space="preserve"> </v>
          </cell>
          <cell r="Q64" t="str">
            <v xml:space="preserve"> </v>
          </cell>
          <cell r="R64">
            <v>3055000</v>
          </cell>
        </row>
        <row r="65">
          <cell r="A65" t="str">
            <v>199748-002</v>
          </cell>
          <cell r="D65" t="str">
            <v>Remote Insight Board</v>
          </cell>
          <cell r="O65" t="str">
            <v xml:space="preserve"> </v>
          </cell>
          <cell r="P65" t="str">
            <v xml:space="preserve"> </v>
          </cell>
          <cell r="Q65" t="str">
            <v xml:space="preserve"> </v>
          </cell>
          <cell r="R65">
            <v>1909000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tabSelected="1" zoomScale="70" zoomScaleNormal="70" zoomScalePageLayoutView="75" workbookViewId="0">
      <selection activeCell="N15" sqref="N15"/>
    </sheetView>
  </sheetViews>
  <sheetFormatPr defaultRowHeight="20.100000000000001" customHeight="1" x14ac:dyDescent="0.3"/>
  <cols>
    <col min="1" max="1" width="5.625" style="1" customWidth="1"/>
    <col min="2" max="2" width="24.125" style="1" customWidth="1"/>
    <col min="3" max="3" width="28.5" style="1" customWidth="1"/>
    <col min="4" max="4" width="9.625" style="1" customWidth="1"/>
    <col min="5" max="5" width="9" style="1" customWidth="1"/>
    <col min="6" max="6" width="10.625" style="3" customWidth="1"/>
    <col min="7" max="7" width="22.625" style="3" customWidth="1"/>
    <col min="8" max="8" width="11.75" style="2" customWidth="1"/>
    <col min="9" max="9" width="14.375" style="2" customWidth="1"/>
    <col min="10" max="10" width="30.5" style="1" customWidth="1"/>
    <col min="11" max="11" width="5" style="1" customWidth="1"/>
    <col min="12" max="12" width="21.125" style="1" bestFit="1" customWidth="1"/>
    <col min="13" max="98" width="9" style="1"/>
    <col min="99" max="99" width="2.625" style="1" customWidth="1"/>
    <col min="100" max="100" width="24.125" style="1" customWidth="1"/>
    <col min="101" max="101" width="31.25" style="1" customWidth="1"/>
    <col min="102" max="102" width="8.125" style="1" customWidth="1"/>
    <col min="103" max="103" width="7.625" style="1" customWidth="1"/>
    <col min="104" max="104" width="13.75" style="1" customWidth="1"/>
    <col min="105" max="105" width="21.875" style="1" customWidth="1"/>
    <col min="106" max="107" width="12.25" style="1" customWidth="1"/>
    <col min="108" max="108" width="33.5" style="1" customWidth="1"/>
    <col min="109" max="109" width="15.625" style="1" customWidth="1"/>
    <col min="110" max="354" width="9" style="1"/>
    <col min="355" max="355" width="2.625" style="1" customWidth="1"/>
    <col min="356" max="356" width="24.125" style="1" customWidth="1"/>
    <col min="357" max="357" width="31.25" style="1" customWidth="1"/>
    <col min="358" max="358" width="8.125" style="1" customWidth="1"/>
    <col min="359" max="359" width="7.625" style="1" customWidth="1"/>
    <col min="360" max="360" width="13.75" style="1" customWidth="1"/>
    <col min="361" max="361" width="21.875" style="1" customWidth="1"/>
    <col min="362" max="363" width="12.25" style="1" customWidth="1"/>
    <col min="364" max="364" width="33.5" style="1" customWidth="1"/>
    <col min="365" max="365" width="15.625" style="1" customWidth="1"/>
    <col min="366" max="610" width="9" style="1"/>
    <col min="611" max="611" width="2.625" style="1" customWidth="1"/>
    <col min="612" max="612" width="24.125" style="1" customWidth="1"/>
    <col min="613" max="613" width="31.25" style="1" customWidth="1"/>
    <col min="614" max="614" width="8.125" style="1" customWidth="1"/>
    <col min="615" max="615" width="7.625" style="1" customWidth="1"/>
    <col min="616" max="616" width="13.75" style="1" customWidth="1"/>
    <col min="617" max="617" width="21.875" style="1" customWidth="1"/>
    <col min="618" max="619" width="12.25" style="1" customWidth="1"/>
    <col min="620" max="620" width="33.5" style="1" customWidth="1"/>
    <col min="621" max="621" width="15.625" style="1" customWidth="1"/>
    <col min="622" max="866" width="9" style="1"/>
    <col min="867" max="867" width="2.625" style="1" customWidth="1"/>
    <col min="868" max="868" width="24.125" style="1" customWidth="1"/>
    <col min="869" max="869" width="31.25" style="1" customWidth="1"/>
    <col min="870" max="870" width="8.125" style="1" customWidth="1"/>
    <col min="871" max="871" width="7.625" style="1" customWidth="1"/>
    <col min="872" max="872" width="13.75" style="1" customWidth="1"/>
    <col min="873" max="873" width="21.875" style="1" customWidth="1"/>
    <col min="874" max="875" width="12.25" style="1" customWidth="1"/>
    <col min="876" max="876" width="33.5" style="1" customWidth="1"/>
    <col min="877" max="877" width="15.625" style="1" customWidth="1"/>
    <col min="878" max="1122" width="9" style="1"/>
    <col min="1123" max="1123" width="2.625" style="1" customWidth="1"/>
    <col min="1124" max="1124" width="24.125" style="1" customWidth="1"/>
    <col min="1125" max="1125" width="31.25" style="1" customWidth="1"/>
    <col min="1126" max="1126" width="8.125" style="1" customWidth="1"/>
    <col min="1127" max="1127" width="7.625" style="1" customWidth="1"/>
    <col min="1128" max="1128" width="13.75" style="1" customWidth="1"/>
    <col min="1129" max="1129" width="21.875" style="1" customWidth="1"/>
    <col min="1130" max="1131" width="12.25" style="1" customWidth="1"/>
    <col min="1132" max="1132" width="33.5" style="1" customWidth="1"/>
    <col min="1133" max="1133" width="15.625" style="1" customWidth="1"/>
    <col min="1134" max="1378" width="9" style="1"/>
    <col min="1379" max="1379" width="2.625" style="1" customWidth="1"/>
    <col min="1380" max="1380" width="24.125" style="1" customWidth="1"/>
    <col min="1381" max="1381" width="31.25" style="1" customWidth="1"/>
    <col min="1382" max="1382" width="8.125" style="1" customWidth="1"/>
    <col min="1383" max="1383" width="7.625" style="1" customWidth="1"/>
    <col min="1384" max="1384" width="13.75" style="1" customWidth="1"/>
    <col min="1385" max="1385" width="21.875" style="1" customWidth="1"/>
    <col min="1386" max="1387" width="12.25" style="1" customWidth="1"/>
    <col min="1388" max="1388" width="33.5" style="1" customWidth="1"/>
    <col min="1389" max="1389" width="15.625" style="1" customWidth="1"/>
    <col min="1390" max="1634" width="9" style="1"/>
    <col min="1635" max="1635" width="2.625" style="1" customWidth="1"/>
    <col min="1636" max="1636" width="24.125" style="1" customWidth="1"/>
    <col min="1637" max="1637" width="31.25" style="1" customWidth="1"/>
    <col min="1638" max="1638" width="8.125" style="1" customWidth="1"/>
    <col min="1639" max="1639" width="7.625" style="1" customWidth="1"/>
    <col min="1640" max="1640" width="13.75" style="1" customWidth="1"/>
    <col min="1641" max="1641" width="21.875" style="1" customWidth="1"/>
    <col min="1642" max="1643" width="12.25" style="1" customWidth="1"/>
    <col min="1644" max="1644" width="33.5" style="1" customWidth="1"/>
    <col min="1645" max="1645" width="15.625" style="1" customWidth="1"/>
    <col min="1646" max="1890" width="9" style="1"/>
    <col min="1891" max="1891" width="2.625" style="1" customWidth="1"/>
    <col min="1892" max="1892" width="24.125" style="1" customWidth="1"/>
    <col min="1893" max="1893" width="31.25" style="1" customWidth="1"/>
    <col min="1894" max="1894" width="8.125" style="1" customWidth="1"/>
    <col min="1895" max="1895" width="7.625" style="1" customWidth="1"/>
    <col min="1896" max="1896" width="13.75" style="1" customWidth="1"/>
    <col min="1897" max="1897" width="21.875" style="1" customWidth="1"/>
    <col min="1898" max="1899" width="12.25" style="1" customWidth="1"/>
    <col min="1900" max="1900" width="33.5" style="1" customWidth="1"/>
    <col min="1901" max="1901" width="15.625" style="1" customWidth="1"/>
    <col min="1902" max="2146" width="9" style="1"/>
    <col min="2147" max="2147" width="2.625" style="1" customWidth="1"/>
    <col min="2148" max="2148" width="24.125" style="1" customWidth="1"/>
    <col min="2149" max="2149" width="31.25" style="1" customWidth="1"/>
    <col min="2150" max="2150" width="8.125" style="1" customWidth="1"/>
    <col min="2151" max="2151" width="7.625" style="1" customWidth="1"/>
    <col min="2152" max="2152" width="13.75" style="1" customWidth="1"/>
    <col min="2153" max="2153" width="21.875" style="1" customWidth="1"/>
    <col min="2154" max="2155" width="12.25" style="1" customWidth="1"/>
    <col min="2156" max="2156" width="33.5" style="1" customWidth="1"/>
    <col min="2157" max="2157" width="15.625" style="1" customWidth="1"/>
    <col min="2158" max="2402" width="9" style="1"/>
    <col min="2403" max="2403" width="2.625" style="1" customWidth="1"/>
    <col min="2404" max="2404" width="24.125" style="1" customWidth="1"/>
    <col min="2405" max="2405" width="31.25" style="1" customWidth="1"/>
    <col min="2406" max="2406" width="8.125" style="1" customWidth="1"/>
    <col min="2407" max="2407" width="7.625" style="1" customWidth="1"/>
    <col min="2408" max="2408" width="13.75" style="1" customWidth="1"/>
    <col min="2409" max="2409" width="21.875" style="1" customWidth="1"/>
    <col min="2410" max="2411" width="12.25" style="1" customWidth="1"/>
    <col min="2412" max="2412" width="33.5" style="1" customWidth="1"/>
    <col min="2413" max="2413" width="15.625" style="1" customWidth="1"/>
    <col min="2414" max="2658" width="9" style="1"/>
    <col min="2659" max="2659" width="2.625" style="1" customWidth="1"/>
    <col min="2660" max="2660" width="24.125" style="1" customWidth="1"/>
    <col min="2661" max="2661" width="31.25" style="1" customWidth="1"/>
    <col min="2662" max="2662" width="8.125" style="1" customWidth="1"/>
    <col min="2663" max="2663" width="7.625" style="1" customWidth="1"/>
    <col min="2664" max="2664" width="13.75" style="1" customWidth="1"/>
    <col min="2665" max="2665" width="21.875" style="1" customWidth="1"/>
    <col min="2666" max="2667" width="12.25" style="1" customWidth="1"/>
    <col min="2668" max="2668" width="33.5" style="1" customWidth="1"/>
    <col min="2669" max="2669" width="15.625" style="1" customWidth="1"/>
    <col min="2670" max="2914" width="9" style="1"/>
    <col min="2915" max="2915" width="2.625" style="1" customWidth="1"/>
    <col min="2916" max="2916" width="24.125" style="1" customWidth="1"/>
    <col min="2917" max="2917" width="31.25" style="1" customWidth="1"/>
    <col min="2918" max="2918" width="8.125" style="1" customWidth="1"/>
    <col min="2919" max="2919" width="7.625" style="1" customWidth="1"/>
    <col min="2920" max="2920" width="13.75" style="1" customWidth="1"/>
    <col min="2921" max="2921" width="21.875" style="1" customWidth="1"/>
    <col min="2922" max="2923" width="12.25" style="1" customWidth="1"/>
    <col min="2924" max="2924" width="33.5" style="1" customWidth="1"/>
    <col min="2925" max="2925" width="15.625" style="1" customWidth="1"/>
    <col min="2926" max="3170" width="9" style="1"/>
    <col min="3171" max="3171" width="2.625" style="1" customWidth="1"/>
    <col min="3172" max="3172" width="24.125" style="1" customWidth="1"/>
    <col min="3173" max="3173" width="31.25" style="1" customWidth="1"/>
    <col min="3174" max="3174" width="8.125" style="1" customWidth="1"/>
    <col min="3175" max="3175" width="7.625" style="1" customWidth="1"/>
    <col min="3176" max="3176" width="13.75" style="1" customWidth="1"/>
    <col min="3177" max="3177" width="21.875" style="1" customWidth="1"/>
    <col min="3178" max="3179" width="12.25" style="1" customWidth="1"/>
    <col min="3180" max="3180" width="33.5" style="1" customWidth="1"/>
    <col min="3181" max="3181" width="15.625" style="1" customWidth="1"/>
    <col min="3182" max="3426" width="9" style="1"/>
    <col min="3427" max="3427" width="2.625" style="1" customWidth="1"/>
    <col min="3428" max="3428" width="24.125" style="1" customWidth="1"/>
    <col min="3429" max="3429" width="31.25" style="1" customWidth="1"/>
    <col min="3430" max="3430" width="8.125" style="1" customWidth="1"/>
    <col min="3431" max="3431" width="7.625" style="1" customWidth="1"/>
    <col min="3432" max="3432" width="13.75" style="1" customWidth="1"/>
    <col min="3433" max="3433" width="21.875" style="1" customWidth="1"/>
    <col min="3434" max="3435" width="12.25" style="1" customWidth="1"/>
    <col min="3436" max="3436" width="33.5" style="1" customWidth="1"/>
    <col min="3437" max="3437" width="15.625" style="1" customWidth="1"/>
    <col min="3438" max="3682" width="9" style="1"/>
    <col min="3683" max="3683" width="2.625" style="1" customWidth="1"/>
    <col min="3684" max="3684" width="24.125" style="1" customWidth="1"/>
    <col min="3685" max="3685" width="31.25" style="1" customWidth="1"/>
    <col min="3686" max="3686" width="8.125" style="1" customWidth="1"/>
    <col min="3687" max="3687" width="7.625" style="1" customWidth="1"/>
    <col min="3688" max="3688" width="13.75" style="1" customWidth="1"/>
    <col min="3689" max="3689" width="21.875" style="1" customWidth="1"/>
    <col min="3690" max="3691" width="12.25" style="1" customWidth="1"/>
    <col min="3692" max="3692" width="33.5" style="1" customWidth="1"/>
    <col min="3693" max="3693" width="15.625" style="1" customWidth="1"/>
    <col min="3694" max="3938" width="9" style="1"/>
    <col min="3939" max="3939" width="2.625" style="1" customWidth="1"/>
    <col min="3940" max="3940" width="24.125" style="1" customWidth="1"/>
    <col min="3941" max="3941" width="31.25" style="1" customWidth="1"/>
    <col min="3942" max="3942" width="8.125" style="1" customWidth="1"/>
    <col min="3943" max="3943" width="7.625" style="1" customWidth="1"/>
    <col min="3944" max="3944" width="13.75" style="1" customWidth="1"/>
    <col min="3945" max="3945" width="21.875" style="1" customWidth="1"/>
    <col min="3946" max="3947" width="12.25" style="1" customWidth="1"/>
    <col min="3948" max="3948" width="33.5" style="1" customWidth="1"/>
    <col min="3949" max="3949" width="15.625" style="1" customWidth="1"/>
    <col min="3950" max="4194" width="9" style="1"/>
    <col min="4195" max="4195" width="2.625" style="1" customWidth="1"/>
    <col min="4196" max="4196" width="24.125" style="1" customWidth="1"/>
    <col min="4197" max="4197" width="31.25" style="1" customWidth="1"/>
    <col min="4198" max="4198" width="8.125" style="1" customWidth="1"/>
    <col min="4199" max="4199" width="7.625" style="1" customWidth="1"/>
    <col min="4200" max="4200" width="13.75" style="1" customWidth="1"/>
    <col min="4201" max="4201" width="21.875" style="1" customWidth="1"/>
    <col min="4202" max="4203" width="12.25" style="1" customWidth="1"/>
    <col min="4204" max="4204" width="33.5" style="1" customWidth="1"/>
    <col min="4205" max="4205" width="15.625" style="1" customWidth="1"/>
    <col min="4206" max="4450" width="9" style="1"/>
    <col min="4451" max="4451" width="2.625" style="1" customWidth="1"/>
    <col min="4452" max="4452" width="24.125" style="1" customWidth="1"/>
    <col min="4453" max="4453" width="31.25" style="1" customWidth="1"/>
    <col min="4454" max="4454" width="8.125" style="1" customWidth="1"/>
    <col min="4455" max="4455" width="7.625" style="1" customWidth="1"/>
    <col min="4456" max="4456" width="13.75" style="1" customWidth="1"/>
    <col min="4457" max="4457" width="21.875" style="1" customWidth="1"/>
    <col min="4458" max="4459" width="12.25" style="1" customWidth="1"/>
    <col min="4460" max="4460" width="33.5" style="1" customWidth="1"/>
    <col min="4461" max="4461" width="15.625" style="1" customWidth="1"/>
    <col min="4462" max="4706" width="9" style="1"/>
    <col min="4707" max="4707" width="2.625" style="1" customWidth="1"/>
    <col min="4708" max="4708" width="24.125" style="1" customWidth="1"/>
    <col min="4709" max="4709" width="31.25" style="1" customWidth="1"/>
    <col min="4710" max="4710" width="8.125" style="1" customWidth="1"/>
    <col min="4711" max="4711" width="7.625" style="1" customWidth="1"/>
    <col min="4712" max="4712" width="13.75" style="1" customWidth="1"/>
    <col min="4713" max="4713" width="21.875" style="1" customWidth="1"/>
    <col min="4714" max="4715" width="12.25" style="1" customWidth="1"/>
    <col min="4716" max="4716" width="33.5" style="1" customWidth="1"/>
    <col min="4717" max="4717" width="15.625" style="1" customWidth="1"/>
    <col min="4718" max="4962" width="9" style="1"/>
    <col min="4963" max="4963" width="2.625" style="1" customWidth="1"/>
    <col min="4964" max="4964" width="24.125" style="1" customWidth="1"/>
    <col min="4965" max="4965" width="31.25" style="1" customWidth="1"/>
    <col min="4966" max="4966" width="8.125" style="1" customWidth="1"/>
    <col min="4967" max="4967" width="7.625" style="1" customWidth="1"/>
    <col min="4968" max="4968" width="13.75" style="1" customWidth="1"/>
    <col min="4969" max="4969" width="21.875" style="1" customWidth="1"/>
    <col min="4970" max="4971" width="12.25" style="1" customWidth="1"/>
    <col min="4972" max="4972" width="33.5" style="1" customWidth="1"/>
    <col min="4973" max="4973" width="15.625" style="1" customWidth="1"/>
    <col min="4974" max="5218" width="9" style="1"/>
    <col min="5219" max="5219" width="2.625" style="1" customWidth="1"/>
    <col min="5220" max="5220" width="24.125" style="1" customWidth="1"/>
    <col min="5221" max="5221" width="31.25" style="1" customWidth="1"/>
    <col min="5222" max="5222" width="8.125" style="1" customWidth="1"/>
    <col min="5223" max="5223" width="7.625" style="1" customWidth="1"/>
    <col min="5224" max="5224" width="13.75" style="1" customWidth="1"/>
    <col min="5225" max="5225" width="21.875" style="1" customWidth="1"/>
    <col min="5226" max="5227" width="12.25" style="1" customWidth="1"/>
    <col min="5228" max="5228" width="33.5" style="1" customWidth="1"/>
    <col min="5229" max="5229" width="15.625" style="1" customWidth="1"/>
    <col min="5230" max="5474" width="9" style="1"/>
    <col min="5475" max="5475" width="2.625" style="1" customWidth="1"/>
    <col min="5476" max="5476" width="24.125" style="1" customWidth="1"/>
    <col min="5477" max="5477" width="31.25" style="1" customWidth="1"/>
    <col min="5478" max="5478" width="8.125" style="1" customWidth="1"/>
    <col min="5479" max="5479" width="7.625" style="1" customWidth="1"/>
    <col min="5480" max="5480" width="13.75" style="1" customWidth="1"/>
    <col min="5481" max="5481" width="21.875" style="1" customWidth="1"/>
    <col min="5482" max="5483" width="12.25" style="1" customWidth="1"/>
    <col min="5484" max="5484" width="33.5" style="1" customWidth="1"/>
    <col min="5485" max="5485" width="15.625" style="1" customWidth="1"/>
    <col min="5486" max="5730" width="9" style="1"/>
    <col min="5731" max="5731" width="2.625" style="1" customWidth="1"/>
    <col min="5732" max="5732" width="24.125" style="1" customWidth="1"/>
    <col min="5733" max="5733" width="31.25" style="1" customWidth="1"/>
    <col min="5734" max="5734" width="8.125" style="1" customWidth="1"/>
    <col min="5735" max="5735" width="7.625" style="1" customWidth="1"/>
    <col min="5736" max="5736" width="13.75" style="1" customWidth="1"/>
    <col min="5737" max="5737" width="21.875" style="1" customWidth="1"/>
    <col min="5738" max="5739" width="12.25" style="1" customWidth="1"/>
    <col min="5740" max="5740" width="33.5" style="1" customWidth="1"/>
    <col min="5741" max="5741" width="15.625" style="1" customWidth="1"/>
    <col min="5742" max="5986" width="9" style="1"/>
    <col min="5987" max="5987" width="2.625" style="1" customWidth="1"/>
    <col min="5988" max="5988" width="24.125" style="1" customWidth="1"/>
    <col min="5989" max="5989" width="31.25" style="1" customWidth="1"/>
    <col min="5990" max="5990" width="8.125" style="1" customWidth="1"/>
    <col min="5991" max="5991" width="7.625" style="1" customWidth="1"/>
    <col min="5992" max="5992" width="13.75" style="1" customWidth="1"/>
    <col min="5993" max="5993" width="21.875" style="1" customWidth="1"/>
    <col min="5994" max="5995" width="12.25" style="1" customWidth="1"/>
    <col min="5996" max="5996" width="33.5" style="1" customWidth="1"/>
    <col min="5997" max="5997" width="15.625" style="1" customWidth="1"/>
    <col min="5998" max="6242" width="9" style="1"/>
    <col min="6243" max="6243" width="2.625" style="1" customWidth="1"/>
    <col min="6244" max="6244" width="24.125" style="1" customWidth="1"/>
    <col min="6245" max="6245" width="31.25" style="1" customWidth="1"/>
    <col min="6246" max="6246" width="8.125" style="1" customWidth="1"/>
    <col min="6247" max="6247" width="7.625" style="1" customWidth="1"/>
    <col min="6248" max="6248" width="13.75" style="1" customWidth="1"/>
    <col min="6249" max="6249" width="21.875" style="1" customWidth="1"/>
    <col min="6250" max="6251" width="12.25" style="1" customWidth="1"/>
    <col min="6252" max="6252" width="33.5" style="1" customWidth="1"/>
    <col min="6253" max="6253" width="15.625" style="1" customWidth="1"/>
    <col min="6254" max="6498" width="9" style="1"/>
    <col min="6499" max="6499" width="2.625" style="1" customWidth="1"/>
    <col min="6500" max="6500" width="24.125" style="1" customWidth="1"/>
    <col min="6501" max="6501" width="31.25" style="1" customWidth="1"/>
    <col min="6502" max="6502" width="8.125" style="1" customWidth="1"/>
    <col min="6503" max="6503" width="7.625" style="1" customWidth="1"/>
    <col min="6504" max="6504" width="13.75" style="1" customWidth="1"/>
    <col min="6505" max="6505" width="21.875" style="1" customWidth="1"/>
    <col min="6506" max="6507" width="12.25" style="1" customWidth="1"/>
    <col min="6508" max="6508" width="33.5" style="1" customWidth="1"/>
    <col min="6509" max="6509" width="15.625" style="1" customWidth="1"/>
    <col min="6510" max="6754" width="9" style="1"/>
    <col min="6755" max="6755" width="2.625" style="1" customWidth="1"/>
    <col min="6756" max="6756" width="24.125" style="1" customWidth="1"/>
    <col min="6757" max="6757" width="31.25" style="1" customWidth="1"/>
    <col min="6758" max="6758" width="8.125" style="1" customWidth="1"/>
    <col min="6759" max="6759" width="7.625" style="1" customWidth="1"/>
    <col min="6760" max="6760" width="13.75" style="1" customWidth="1"/>
    <col min="6761" max="6761" width="21.875" style="1" customWidth="1"/>
    <col min="6762" max="6763" width="12.25" style="1" customWidth="1"/>
    <col min="6764" max="6764" width="33.5" style="1" customWidth="1"/>
    <col min="6765" max="6765" width="15.625" style="1" customWidth="1"/>
    <col min="6766" max="7010" width="9" style="1"/>
    <col min="7011" max="7011" width="2.625" style="1" customWidth="1"/>
    <col min="7012" max="7012" width="24.125" style="1" customWidth="1"/>
    <col min="7013" max="7013" width="31.25" style="1" customWidth="1"/>
    <col min="7014" max="7014" width="8.125" style="1" customWidth="1"/>
    <col min="7015" max="7015" width="7.625" style="1" customWidth="1"/>
    <col min="7016" max="7016" width="13.75" style="1" customWidth="1"/>
    <col min="7017" max="7017" width="21.875" style="1" customWidth="1"/>
    <col min="7018" max="7019" width="12.25" style="1" customWidth="1"/>
    <col min="7020" max="7020" width="33.5" style="1" customWidth="1"/>
    <col min="7021" max="7021" width="15.625" style="1" customWidth="1"/>
    <col min="7022" max="7266" width="9" style="1"/>
    <col min="7267" max="7267" width="2.625" style="1" customWidth="1"/>
    <col min="7268" max="7268" width="24.125" style="1" customWidth="1"/>
    <col min="7269" max="7269" width="31.25" style="1" customWidth="1"/>
    <col min="7270" max="7270" width="8.125" style="1" customWidth="1"/>
    <col min="7271" max="7271" width="7.625" style="1" customWidth="1"/>
    <col min="7272" max="7272" width="13.75" style="1" customWidth="1"/>
    <col min="7273" max="7273" width="21.875" style="1" customWidth="1"/>
    <col min="7274" max="7275" width="12.25" style="1" customWidth="1"/>
    <col min="7276" max="7276" width="33.5" style="1" customWidth="1"/>
    <col min="7277" max="7277" width="15.625" style="1" customWidth="1"/>
    <col min="7278" max="7522" width="9" style="1"/>
    <col min="7523" max="7523" width="2.625" style="1" customWidth="1"/>
    <col min="7524" max="7524" width="24.125" style="1" customWidth="1"/>
    <col min="7525" max="7525" width="31.25" style="1" customWidth="1"/>
    <col min="7526" max="7526" width="8.125" style="1" customWidth="1"/>
    <col min="7527" max="7527" width="7.625" style="1" customWidth="1"/>
    <col min="7528" max="7528" width="13.75" style="1" customWidth="1"/>
    <col min="7529" max="7529" width="21.875" style="1" customWidth="1"/>
    <col min="7530" max="7531" width="12.25" style="1" customWidth="1"/>
    <col min="7532" max="7532" width="33.5" style="1" customWidth="1"/>
    <col min="7533" max="7533" width="15.625" style="1" customWidth="1"/>
    <col min="7534" max="7778" width="9" style="1"/>
    <col min="7779" max="7779" width="2.625" style="1" customWidth="1"/>
    <col min="7780" max="7780" width="24.125" style="1" customWidth="1"/>
    <col min="7781" max="7781" width="31.25" style="1" customWidth="1"/>
    <col min="7782" max="7782" width="8.125" style="1" customWidth="1"/>
    <col min="7783" max="7783" width="7.625" style="1" customWidth="1"/>
    <col min="7784" max="7784" width="13.75" style="1" customWidth="1"/>
    <col min="7785" max="7785" width="21.875" style="1" customWidth="1"/>
    <col min="7786" max="7787" width="12.25" style="1" customWidth="1"/>
    <col min="7788" max="7788" width="33.5" style="1" customWidth="1"/>
    <col min="7789" max="7789" width="15.625" style="1" customWidth="1"/>
    <col min="7790" max="8034" width="9" style="1"/>
    <col min="8035" max="8035" width="2.625" style="1" customWidth="1"/>
    <col min="8036" max="8036" width="24.125" style="1" customWidth="1"/>
    <col min="8037" max="8037" width="31.25" style="1" customWidth="1"/>
    <col min="8038" max="8038" width="8.125" style="1" customWidth="1"/>
    <col min="8039" max="8039" width="7.625" style="1" customWidth="1"/>
    <col min="8040" max="8040" width="13.75" style="1" customWidth="1"/>
    <col min="8041" max="8041" width="21.875" style="1" customWidth="1"/>
    <col min="8042" max="8043" width="12.25" style="1" customWidth="1"/>
    <col min="8044" max="8044" width="33.5" style="1" customWidth="1"/>
    <col min="8045" max="8045" width="15.625" style="1" customWidth="1"/>
    <col min="8046" max="8290" width="9" style="1"/>
    <col min="8291" max="8291" width="2.625" style="1" customWidth="1"/>
    <col min="8292" max="8292" width="24.125" style="1" customWidth="1"/>
    <col min="8293" max="8293" width="31.25" style="1" customWidth="1"/>
    <col min="8294" max="8294" width="8.125" style="1" customWidth="1"/>
    <col min="8295" max="8295" width="7.625" style="1" customWidth="1"/>
    <col min="8296" max="8296" width="13.75" style="1" customWidth="1"/>
    <col min="8297" max="8297" width="21.875" style="1" customWidth="1"/>
    <col min="8298" max="8299" width="12.25" style="1" customWidth="1"/>
    <col min="8300" max="8300" width="33.5" style="1" customWidth="1"/>
    <col min="8301" max="8301" width="15.625" style="1" customWidth="1"/>
    <col min="8302" max="8546" width="9" style="1"/>
    <col min="8547" max="8547" width="2.625" style="1" customWidth="1"/>
    <col min="8548" max="8548" width="24.125" style="1" customWidth="1"/>
    <col min="8549" max="8549" width="31.25" style="1" customWidth="1"/>
    <col min="8550" max="8550" width="8.125" style="1" customWidth="1"/>
    <col min="8551" max="8551" width="7.625" style="1" customWidth="1"/>
    <col min="8552" max="8552" width="13.75" style="1" customWidth="1"/>
    <col min="8553" max="8553" width="21.875" style="1" customWidth="1"/>
    <col min="8554" max="8555" width="12.25" style="1" customWidth="1"/>
    <col min="8556" max="8556" width="33.5" style="1" customWidth="1"/>
    <col min="8557" max="8557" width="15.625" style="1" customWidth="1"/>
    <col min="8558" max="8802" width="9" style="1"/>
    <col min="8803" max="8803" width="2.625" style="1" customWidth="1"/>
    <col min="8804" max="8804" width="24.125" style="1" customWidth="1"/>
    <col min="8805" max="8805" width="31.25" style="1" customWidth="1"/>
    <col min="8806" max="8806" width="8.125" style="1" customWidth="1"/>
    <col min="8807" max="8807" width="7.625" style="1" customWidth="1"/>
    <col min="8808" max="8808" width="13.75" style="1" customWidth="1"/>
    <col min="8809" max="8809" width="21.875" style="1" customWidth="1"/>
    <col min="8810" max="8811" width="12.25" style="1" customWidth="1"/>
    <col min="8812" max="8812" width="33.5" style="1" customWidth="1"/>
    <col min="8813" max="8813" width="15.625" style="1" customWidth="1"/>
    <col min="8814" max="9058" width="9" style="1"/>
    <col min="9059" max="9059" width="2.625" style="1" customWidth="1"/>
    <col min="9060" max="9060" width="24.125" style="1" customWidth="1"/>
    <col min="9061" max="9061" width="31.25" style="1" customWidth="1"/>
    <col min="9062" max="9062" width="8.125" style="1" customWidth="1"/>
    <col min="9063" max="9063" width="7.625" style="1" customWidth="1"/>
    <col min="9064" max="9064" width="13.75" style="1" customWidth="1"/>
    <col min="9065" max="9065" width="21.875" style="1" customWidth="1"/>
    <col min="9066" max="9067" width="12.25" style="1" customWidth="1"/>
    <col min="9068" max="9068" width="33.5" style="1" customWidth="1"/>
    <col min="9069" max="9069" width="15.625" style="1" customWidth="1"/>
    <col min="9070" max="9314" width="9" style="1"/>
    <col min="9315" max="9315" width="2.625" style="1" customWidth="1"/>
    <col min="9316" max="9316" width="24.125" style="1" customWidth="1"/>
    <col min="9317" max="9317" width="31.25" style="1" customWidth="1"/>
    <col min="9318" max="9318" width="8.125" style="1" customWidth="1"/>
    <col min="9319" max="9319" width="7.625" style="1" customWidth="1"/>
    <col min="9320" max="9320" width="13.75" style="1" customWidth="1"/>
    <col min="9321" max="9321" width="21.875" style="1" customWidth="1"/>
    <col min="9322" max="9323" width="12.25" style="1" customWidth="1"/>
    <col min="9324" max="9324" width="33.5" style="1" customWidth="1"/>
    <col min="9325" max="9325" width="15.625" style="1" customWidth="1"/>
    <col min="9326" max="9570" width="9" style="1"/>
    <col min="9571" max="9571" width="2.625" style="1" customWidth="1"/>
    <col min="9572" max="9572" width="24.125" style="1" customWidth="1"/>
    <col min="9573" max="9573" width="31.25" style="1" customWidth="1"/>
    <col min="9574" max="9574" width="8.125" style="1" customWidth="1"/>
    <col min="9575" max="9575" width="7.625" style="1" customWidth="1"/>
    <col min="9576" max="9576" width="13.75" style="1" customWidth="1"/>
    <col min="9577" max="9577" width="21.875" style="1" customWidth="1"/>
    <col min="9578" max="9579" width="12.25" style="1" customWidth="1"/>
    <col min="9580" max="9580" width="33.5" style="1" customWidth="1"/>
    <col min="9581" max="9581" width="15.625" style="1" customWidth="1"/>
    <col min="9582" max="9826" width="9" style="1"/>
    <col min="9827" max="9827" width="2.625" style="1" customWidth="1"/>
    <col min="9828" max="9828" width="24.125" style="1" customWidth="1"/>
    <col min="9829" max="9829" width="31.25" style="1" customWidth="1"/>
    <col min="9830" max="9830" width="8.125" style="1" customWidth="1"/>
    <col min="9831" max="9831" width="7.625" style="1" customWidth="1"/>
    <col min="9832" max="9832" width="13.75" style="1" customWidth="1"/>
    <col min="9833" max="9833" width="21.875" style="1" customWidth="1"/>
    <col min="9834" max="9835" width="12.25" style="1" customWidth="1"/>
    <col min="9836" max="9836" width="33.5" style="1" customWidth="1"/>
    <col min="9837" max="9837" width="15.625" style="1" customWidth="1"/>
    <col min="9838" max="10082" width="9" style="1"/>
    <col min="10083" max="10083" width="2.625" style="1" customWidth="1"/>
    <col min="10084" max="10084" width="24.125" style="1" customWidth="1"/>
    <col min="10085" max="10085" width="31.25" style="1" customWidth="1"/>
    <col min="10086" max="10086" width="8.125" style="1" customWidth="1"/>
    <col min="10087" max="10087" width="7.625" style="1" customWidth="1"/>
    <col min="10088" max="10088" width="13.75" style="1" customWidth="1"/>
    <col min="10089" max="10089" width="21.875" style="1" customWidth="1"/>
    <col min="10090" max="10091" width="12.25" style="1" customWidth="1"/>
    <col min="10092" max="10092" width="33.5" style="1" customWidth="1"/>
    <col min="10093" max="10093" width="15.625" style="1" customWidth="1"/>
    <col min="10094" max="10338" width="9" style="1"/>
    <col min="10339" max="10339" width="2.625" style="1" customWidth="1"/>
    <col min="10340" max="10340" width="24.125" style="1" customWidth="1"/>
    <col min="10341" max="10341" width="31.25" style="1" customWidth="1"/>
    <col min="10342" max="10342" width="8.125" style="1" customWidth="1"/>
    <col min="10343" max="10343" width="7.625" style="1" customWidth="1"/>
    <col min="10344" max="10344" width="13.75" style="1" customWidth="1"/>
    <col min="10345" max="10345" width="21.875" style="1" customWidth="1"/>
    <col min="10346" max="10347" width="12.25" style="1" customWidth="1"/>
    <col min="10348" max="10348" width="33.5" style="1" customWidth="1"/>
    <col min="10349" max="10349" width="15.625" style="1" customWidth="1"/>
    <col min="10350" max="10594" width="9" style="1"/>
    <col min="10595" max="10595" width="2.625" style="1" customWidth="1"/>
    <col min="10596" max="10596" width="24.125" style="1" customWidth="1"/>
    <col min="10597" max="10597" width="31.25" style="1" customWidth="1"/>
    <col min="10598" max="10598" width="8.125" style="1" customWidth="1"/>
    <col min="10599" max="10599" width="7.625" style="1" customWidth="1"/>
    <col min="10600" max="10600" width="13.75" style="1" customWidth="1"/>
    <col min="10601" max="10601" width="21.875" style="1" customWidth="1"/>
    <col min="10602" max="10603" width="12.25" style="1" customWidth="1"/>
    <col min="10604" max="10604" width="33.5" style="1" customWidth="1"/>
    <col min="10605" max="10605" width="15.625" style="1" customWidth="1"/>
    <col min="10606" max="10850" width="9" style="1"/>
    <col min="10851" max="10851" width="2.625" style="1" customWidth="1"/>
    <col min="10852" max="10852" width="24.125" style="1" customWidth="1"/>
    <col min="10853" max="10853" width="31.25" style="1" customWidth="1"/>
    <col min="10854" max="10854" width="8.125" style="1" customWidth="1"/>
    <col min="10855" max="10855" width="7.625" style="1" customWidth="1"/>
    <col min="10856" max="10856" width="13.75" style="1" customWidth="1"/>
    <col min="10857" max="10857" width="21.875" style="1" customWidth="1"/>
    <col min="10858" max="10859" width="12.25" style="1" customWidth="1"/>
    <col min="10860" max="10860" width="33.5" style="1" customWidth="1"/>
    <col min="10861" max="10861" width="15.625" style="1" customWidth="1"/>
    <col min="10862" max="11106" width="9" style="1"/>
    <col min="11107" max="11107" width="2.625" style="1" customWidth="1"/>
    <col min="11108" max="11108" width="24.125" style="1" customWidth="1"/>
    <col min="11109" max="11109" width="31.25" style="1" customWidth="1"/>
    <col min="11110" max="11110" width="8.125" style="1" customWidth="1"/>
    <col min="11111" max="11111" width="7.625" style="1" customWidth="1"/>
    <col min="11112" max="11112" width="13.75" style="1" customWidth="1"/>
    <col min="11113" max="11113" width="21.875" style="1" customWidth="1"/>
    <col min="11114" max="11115" width="12.25" style="1" customWidth="1"/>
    <col min="11116" max="11116" width="33.5" style="1" customWidth="1"/>
    <col min="11117" max="11117" width="15.625" style="1" customWidth="1"/>
    <col min="11118" max="11362" width="9" style="1"/>
    <col min="11363" max="11363" width="2.625" style="1" customWidth="1"/>
    <col min="11364" max="11364" width="24.125" style="1" customWidth="1"/>
    <col min="11365" max="11365" width="31.25" style="1" customWidth="1"/>
    <col min="11366" max="11366" width="8.125" style="1" customWidth="1"/>
    <col min="11367" max="11367" width="7.625" style="1" customWidth="1"/>
    <col min="11368" max="11368" width="13.75" style="1" customWidth="1"/>
    <col min="11369" max="11369" width="21.875" style="1" customWidth="1"/>
    <col min="11370" max="11371" width="12.25" style="1" customWidth="1"/>
    <col min="11372" max="11372" width="33.5" style="1" customWidth="1"/>
    <col min="11373" max="11373" width="15.625" style="1" customWidth="1"/>
    <col min="11374" max="11618" width="9" style="1"/>
    <col min="11619" max="11619" width="2.625" style="1" customWidth="1"/>
    <col min="11620" max="11620" width="24.125" style="1" customWidth="1"/>
    <col min="11621" max="11621" width="31.25" style="1" customWidth="1"/>
    <col min="11622" max="11622" width="8.125" style="1" customWidth="1"/>
    <col min="11623" max="11623" width="7.625" style="1" customWidth="1"/>
    <col min="11624" max="11624" width="13.75" style="1" customWidth="1"/>
    <col min="11625" max="11625" width="21.875" style="1" customWidth="1"/>
    <col min="11626" max="11627" width="12.25" style="1" customWidth="1"/>
    <col min="11628" max="11628" width="33.5" style="1" customWidth="1"/>
    <col min="11629" max="11629" width="15.625" style="1" customWidth="1"/>
    <col min="11630" max="11874" width="9" style="1"/>
    <col min="11875" max="11875" width="2.625" style="1" customWidth="1"/>
    <col min="11876" max="11876" width="24.125" style="1" customWidth="1"/>
    <col min="11877" max="11877" width="31.25" style="1" customWidth="1"/>
    <col min="11878" max="11878" width="8.125" style="1" customWidth="1"/>
    <col min="11879" max="11879" width="7.625" style="1" customWidth="1"/>
    <col min="11880" max="11880" width="13.75" style="1" customWidth="1"/>
    <col min="11881" max="11881" width="21.875" style="1" customWidth="1"/>
    <col min="11882" max="11883" width="12.25" style="1" customWidth="1"/>
    <col min="11884" max="11884" width="33.5" style="1" customWidth="1"/>
    <col min="11885" max="11885" width="15.625" style="1" customWidth="1"/>
    <col min="11886" max="12130" width="9" style="1"/>
    <col min="12131" max="12131" width="2.625" style="1" customWidth="1"/>
    <col min="12132" max="12132" width="24.125" style="1" customWidth="1"/>
    <col min="12133" max="12133" width="31.25" style="1" customWidth="1"/>
    <col min="12134" max="12134" width="8.125" style="1" customWidth="1"/>
    <col min="12135" max="12135" width="7.625" style="1" customWidth="1"/>
    <col min="12136" max="12136" width="13.75" style="1" customWidth="1"/>
    <col min="12137" max="12137" width="21.875" style="1" customWidth="1"/>
    <col min="12138" max="12139" width="12.25" style="1" customWidth="1"/>
    <col min="12140" max="12140" width="33.5" style="1" customWidth="1"/>
    <col min="12141" max="12141" width="15.625" style="1" customWidth="1"/>
    <col min="12142" max="12386" width="9" style="1"/>
    <col min="12387" max="12387" width="2.625" style="1" customWidth="1"/>
    <col min="12388" max="12388" width="24.125" style="1" customWidth="1"/>
    <col min="12389" max="12389" width="31.25" style="1" customWidth="1"/>
    <col min="12390" max="12390" width="8.125" style="1" customWidth="1"/>
    <col min="12391" max="12391" width="7.625" style="1" customWidth="1"/>
    <col min="12392" max="12392" width="13.75" style="1" customWidth="1"/>
    <col min="12393" max="12393" width="21.875" style="1" customWidth="1"/>
    <col min="12394" max="12395" width="12.25" style="1" customWidth="1"/>
    <col min="12396" max="12396" width="33.5" style="1" customWidth="1"/>
    <col min="12397" max="12397" width="15.625" style="1" customWidth="1"/>
    <col min="12398" max="12642" width="9" style="1"/>
    <col min="12643" max="12643" width="2.625" style="1" customWidth="1"/>
    <col min="12644" max="12644" width="24.125" style="1" customWidth="1"/>
    <col min="12645" max="12645" width="31.25" style="1" customWidth="1"/>
    <col min="12646" max="12646" width="8.125" style="1" customWidth="1"/>
    <col min="12647" max="12647" width="7.625" style="1" customWidth="1"/>
    <col min="12648" max="12648" width="13.75" style="1" customWidth="1"/>
    <col min="12649" max="12649" width="21.875" style="1" customWidth="1"/>
    <col min="12650" max="12651" width="12.25" style="1" customWidth="1"/>
    <col min="12652" max="12652" width="33.5" style="1" customWidth="1"/>
    <col min="12653" max="12653" width="15.625" style="1" customWidth="1"/>
    <col min="12654" max="12898" width="9" style="1"/>
    <col min="12899" max="12899" width="2.625" style="1" customWidth="1"/>
    <col min="12900" max="12900" width="24.125" style="1" customWidth="1"/>
    <col min="12901" max="12901" width="31.25" style="1" customWidth="1"/>
    <col min="12902" max="12902" width="8.125" style="1" customWidth="1"/>
    <col min="12903" max="12903" width="7.625" style="1" customWidth="1"/>
    <col min="12904" max="12904" width="13.75" style="1" customWidth="1"/>
    <col min="12905" max="12905" width="21.875" style="1" customWidth="1"/>
    <col min="12906" max="12907" width="12.25" style="1" customWidth="1"/>
    <col min="12908" max="12908" width="33.5" style="1" customWidth="1"/>
    <col min="12909" max="12909" width="15.625" style="1" customWidth="1"/>
    <col min="12910" max="13154" width="9" style="1"/>
    <col min="13155" max="13155" width="2.625" style="1" customWidth="1"/>
    <col min="13156" max="13156" width="24.125" style="1" customWidth="1"/>
    <col min="13157" max="13157" width="31.25" style="1" customWidth="1"/>
    <col min="13158" max="13158" width="8.125" style="1" customWidth="1"/>
    <col min="13159" max="13159" width="7.625" style="1" customWidth="1"/>
    <col min="13160" max="13160" width="13.75" style="1" customWidth="1"/>
    <col min="13161" max="13161" width="21.875" style="1" customWidth="1"/>
    <col min="13162" max="13163" width="12.25" style="1" customWidth="1"/>
    <col min="13164" max="13164" width="33.5" style="1" customWidth="1"/>
    <col min="13165" max="13165" width="15.625" style="1" customWidth="1"/>
    <col min="13166" max="13410" width="9" style="1"/>
    <col min="13411" max="13411" width="2.625" style="1" customWidth="1"/>
    <col min="13412" max="13412" width="24.125" style="1" customWidth="1"/>
    <col min="13413" max="13413" width="31.25" style="1" customWidth="1"/>
    <col min="13414" max="13414" width="8.125" style="1" customWidth="1"/>
    <col min="13415" max="13415" width="7.625" style="1" customWidth="1"/>
    <col min="13416" max="13416" width="13.75" style="1" customWidth="1"/>
    <col min="13417" max="13417" width="21.875" style="1" customWidth="1"/>
    <col min="13418" max="13419" width="12.25" style="1" customWidth="1"/>
    <col min="13420" max="13420" width="33.5" style="1" customWidth="1"/>
    <col min="13421" max="13421" width="15.625" style="1" customWidth="1"/>
    <col min="13422" max="13666" width="9" style="1"/>
    <col min="13667" max="13667" width="2.625" style="1" customWidth="1"/>
    <col min="13668" max="13668" width="24.125" style="1" customWidth="1"/>
    <col min="13669" max="13669" width="31.25" style="1" customWidth="1"/>
    <col min="13670" max="13670" width="8.125" style="1" customWidth="1"/>
    <col min="13671" max="13671" width="7.625" style="1" customWidth="1"/>
    <col min="13672" max="13672" width="13.75" style="1" customWidth="1"/>
    <col min="13673" max="13673" width="21.875" style="1" customWidth="1"/>
    <col min="13674" max="13675" width="12.25" style="1" customWidth="1"/>
    <col min="13676" max="13676" width="33.5" style="1" customWidth="1"/>
    <col min="13677" max="13677" width="15.625" style="1" customWidth="1"/>
    <col min="13678" max="13922" width="9" style="1"/>
    <col min="13923" max="13923" width="2.625" style="1" customWidth="1"/>
    <col min="13924" max="13924" width="24.125" style="1" customWidth="1"/>
    <col min="13925" max="13925" width="31.25" style="1" customWidth="1"/>
    <col min="13926" max="13926" width="8.125" style="1" customWidth="1"/>
    <col min="13927" max="13927" width="7.625" style="1" customWidth="1"/>
    <col min="13928" max="13928" width="13.75" style="1" customWidth="1"/>
    <col min="13929" max="13929" width="21.875" style="1" customWidth="1"/>
    <col min="13930" max="13931" width="12.25" style="1" customWidth="1"/>
    <col min="13932" max="13932" width="33.5" style="1" customWidth="1"/>
    <col min="13933" max="13933" width="15.625" style="1" customWidth="1"/>
    <col min="13934" max="14178" width="9" style="1"/>
    <col min="14179" max="14179" width="2.625" style="1" customWidth="1"/>
    <col min="14180" max="14180" width="24.125" style="1" customWidth="1"/>
    <col min="14181" max="14181" width="31.25" style="1" customWidth="1"/>
    <col min="14182" max="14182" width="8.125" style="1" customWidth="1"/>
    <col min="14183" max="14183" width="7.625" style="1" customWidth="1"/>
    <col min="14184" max="14184" width="13.75" style="1" customWidth="1"/>
    <col min="14185" max="14185" width="21.875" style="1" customWidth="1"/>
    <col min="14186" max="14187" width="12.25" style="1" customWidth="1"/>
    <col min="14188" max="14188" width="33.5" style="1" customWidth="1"/>
    <col min="14189" max="14189" width="15.625" style="1" customWidth="1"/>
    <col min="14190" max="14434" width="9" style="1"/>
    <col min="14435" max="14435" width="2.625" style="1" customWidth="1"/>
    <col min="14436" max="14436" width="24.125" style="1" customWidth="1"/>
    <col min="14437" max="14437" width="31.25" style="1" customWidth="1"/>
    <col min="14438" max="14438" width="8.125" style="1" customWidth="1"/>
    <col min="14439" max="14439" width="7.625" style="1" customWidth="1"/>
    <col min="14440" max="14440" width="13.75" style="1" customWidth="1"/>
    <col min="14441" max="14441" width="21.875" style="1" customWidth="1"/>
    <col min="14442" max="14443" width="12.25" style="1" customWidth="1"/>
    <col min="14444" max="14444" width="33.5" style="1" customWidth="1"/>
    <col min="14445" max="14445" width="15.625" style="1" customWidth="1"/>
    <col min="14446" max="14690" width="9" style="1"/>
    <col min="14691" max="14691" width="2.625" style="1" customWidth="1"/>
    <col min="14692" max="14692" width="24.125" style="1" customWidth="1"/>
    <col min="14693" max="14693" width="31.25" style="1" customWidth="1"/>
    <col min="14694" max="14694" width="8.125" style="1" customWidth="1"/>
    <col min="14695" max="14695" width="7.625" style="1" customWidth="1"/>
    <col min="14696" max="14696" width="13.75" style="1" customWidth="1"/>
    <col min="14697" max="14697" width="21.875" style="1" customWidth="1"/>
    <col min="14698" max="14699" width="12.25" style="1" customWidth="1"/>
    <col min="14700" max="14700" width="33.5" style="1" customWidth="1"/>
    <col min="14701" max="14701" width="15.625" style="1" customWidth="1"/>
    <col min="14702" max="14946" width="9" style="1"/>
    <col min="14947" max="14947" width="2.625" style="1" customWidth="1"/>
    <col min="14948" max="14948" width="24.125" style="1" customWidth="1"/>
    <col min="14949" max="14949" width="31.25" style="1" customWidth="1"/>
    <col min="14950" max="14950" width="8.125" style="1" customWidth="1"/>
    <col min="14951" max="14951" width="7.625" style="1" customWidth="1"/>
    <col min="14952" max="14952" width="13.75" style="1" customWidth="1"/>
    <col min="14953" max="14953" width="21.875" style="1" customWidth="1"/>
    <col min="14954" max="14955" width="12.25" style="1" customWidth="1"/>
    <col min="14956" max="14956" width="33.5" style="1" customWidth="1"/>
    <col min="14957" max="14957" width="15.625" style="1" customWidth="1"/>
    <col min="14958" max="15202" width="9" style="1"/>
    <col min="15203" max="15203" width="2.625" style="1" customWidth="1"/>
    <col min="15204" max="15204" width="24.125" style="1" customWidth="1"/>
    <col min="15205" max="15205" width="31.25" style="1" customWidth="1"/>
    <col min="15206" max="15206" width="8.125" style="1" customWidth="1"/>
    <col min="15207" max="15207" width="7.625" style="1" customWidth="1"/>
    <col min="15208" max="15208" width="13.75" style="1" customWidth="1"/>
    <col min="15209" max="15209" width="21.875" style="1" customWidth="1"/>
    <col min="15210" max="15211" width="12.25" style="1" customWidth="1"/>
    <col min="15212" max="15212" width="33.5" style="1" customWidth="1"/>
    <col min="15213" max="15213" width="15.625" style="1" customWidth="1"/>
    <col min="15214" max="15458" width="9" style="1"/>
    <col min="15459" max="15459" width="2.625" style="1" customWidth="1"/>
    <col min="15460" max="15460" width="24.125" style="1" customWidth="1"/>
    <col min="15461" max="15461" width="31.25" style="1" customWidth="1"/>
    <col min="15462" max="15462" width="8.125" style="1" customWidth="1"/>
    <col min="15463" max="15463" width="7.625" style="1" customWidth="1"/>
    <col min="15464" max="15464" width="13.75" style="1" customWidth="1"/>
    <col min="15465" max="15465" width="21.875" style="1" customWidth="1"/>
    <col min="15466" max="15467" width="12.25" style="1" customWidth="1"/>
    <col min="15468" max="15468" width="33.5" style="1" customWidth="1"/>
    <col min="15469" max="15469" width="15.625" style="1" customWidth="1"/>
    <col min="15470" max="15714" width="9" style="1"/>
    <col min="15715" max="15715" width="2.625" style="1" customWidth="1"/>
    <col min="15716" max="15716" width="24.125" style="1" customWidth="1"/>
    <col min="15717" max="15717" width="31.25" style="1" customWidth="1"/>
    <col min="15718" max="15718" width="8.125" style="1" customWidth="1"/>
    <col min="15719" max="15719" width="7.625" style="1" customWidth="1"/>
    <col min="15720" max="15720" width="13.75" style="1" customWidth="1"/>
    <col min="15721" max="15721" width="21.875" style="1" customWidth="1"/>
    <col min="15722" max="15723" width="12.25" style="1" customWidth="1"/>
    <col min="15724" max="15724" width="33.5" style="1" customWidth="1"/>
    <col min="15725" max="15725" width="15.625" style="1" customWidth="1"/>
    <col min="15726" max="15970" width="9" style="1"/>
    <col min="15971" max="15971" width="2.625" style="1" customWidth="1"/>
    <col min="15972" max="15972" width="24.125" style="1" customWidth="1"/>
    <col min="15973" max="15973" width="31.25" style="1" customWidth="1"/>
    <col min="15974" max="15974" width="8.125" style="1" customWidth="1"/>
    <col min="15975" max="15975" width="7.625" style="1" customWidth="1"/>
    <col min="15976" max="15976" width="13.75" style="1" customWidth="1"/>
    <col min="15977" max="15977" width="21.875" style="1" customWidth="1"/>
    <col min="15978" max="15979" width="12.25" style="1" customWidth="1"/>
    <col min="15980" max="15980" width="33.5" style="1" customWidth="1"/>
    <col min="15981" max="15981" width="15.625" style="1" customWidth="1"/>
    <col min="15982" max="16384" width="9" style="1"/>
  </cols>
  <sheetData>
    <row r="1" spans="1:11" ht="14.25" customHeight="1" x14ac:dyDescent="0.3"/>
    <row r="2" spans="1:11" ht="27.75" customHeight="1" x14ac:dyDescent="0.3">
      <c r="B2" s="126" t="s">
        <v>58</v>
      </c>
      <c r="C2" s="127"/>
      <c r="D2" s="127"/>
      <c r="E2" s="127"/>
      <c r="F2" s="127"/>
      <c r="G2" s="127"/>
      <c r="H2" s="127"/>
      <c r="I2" s="127"/>
      <c r="J2" s="128"/>
    </row>
    <row r="3" spans="1:11" ht="12.75" customHeight="1" thickBot="1" x14ac:dyDescent="0.35">
      <c r="B3" s="67"/>
      <c r="C3" s="67"/>
      <c r="D3" s="67"/>
      <c r="E3" s="67"/>
      <c r="F3" s="69"/>
      <c r="G3" s="69"/>
      <c r="H3" s="68"/>
      <c r="I3" s="68"/>
      <c r="J3" s="67"/>
    </row>
    <row r="4" spans="1:11" ht="24.95" customHeight="1" thickTop="1" x14ac:dyDescent="0.3">
      <c r="A4" s="14"/>
      <c r="B4" s="66" t="s">
        <v>57</v>
      </c>
      <c r="C4" s="129"/>
      <c r="D4" s="130"/>
      <c r="E4" s="130"/>
      <c r="F4" s="130"/>
      <c r="G4" s="65" t="s">
        <v>56</v>
      </c>
      <c r="H4" s="131" t="s">
        <v>63</v>
      </c>
      <c r="I4" s="132"/>
      <c r="J4" s="133"/>
    </row>
    <row r="5" spans="1:11" ht="24.95" customHeight="1" x14ac:dyDescent="0.3">
      <c r="A5" s="14"/>
      <c r="B5" s="63" t="s">
        <v>55</v>
      </c>
      <c r="C5" s="134"/>
      <c r="D5" s="122"/>
      <c r="E5" s="122"/>
      <c r="F5" s="122"/>
      <c r="G5" s="64" t="s">
        <v>54</v>
      </c>
      <c r="H5" s="104" t="s">
        <v>64</v>
      </c>
      <c r="I5" s="105"/>
      <c r="J5" s="106"/>
    </row>
    <row r="6" spans="1:11" ht="24.75" customHeight="1" x14ac:dyDescent="0.3">
      <c r="A6" s="14"/>
      <c r="B6" s="63" t="s">
        <v>53</v>
      </c>
      <c r="C6" s="121"/>
      <c r="D6" s="122"/>
      <c r="E6" s="122"/>
      <c r="F6" s="122"/>
      <c r="G6" s="62" t="s">
        <v>52</v>
      </c>
      <c r="H6" s="104" t="s">
        <v>65</v>
      </c>
      <c r="I6" s="105"/>
      <c r="J6" s="106"/>
    </row>
    <row r="7" spans="1:11" ht="24.95" customHeight="1" x14ac:dyDescent="0.3">
      <c r="A7" s="14" t="s">
        <v>51</v>
      </c>
      <c r="B7" s="63" t="s">
        <v>50</v>
      </c>
      <c r="C7" s="121"/>
      <c r="D7" s="122"/>
      <c r="E7" s="122"/>
      <c r="F7" s="122"/>
      <c r="G7" s="62" t="s">
        <v>49</v>
      </c>
      <c r="H7" s="104" t="s">
        <v>66</v>
      </c>
      <c r="I7" s="105"/>
      <c r="J7" s="106"/>
    </row>
    <row r="8" spans="1:11" ht="20.100000000000001" customHeight="1" thickBot="1" x14ac:dyDescent="0.35">
      <c r="B8" s="60"/>
      <c r="C8" s="61"/>
      <c r="D8" s="60"/>
      <c r="E8" s="60"/>
      <c r="F8" s="59"/>
      <c r="G8" s="59"/>
      <c r="H8" s="58"/>
      <c r="I8" s="58"/>
      <c r="J8" s="57"/>
    </row>
    <row r="9" spans="1:11" ht="39.75" customHeight="1" thickTop="1" thickBot="1" x14ac:dyDescent="0.55000000000000004">
      <c r="B9" s="56" t="s">
        <v>48</v>
      </c>
      <c r="C9" s="55" t="s">
        <v>47</v>
      </c>
      <c r="D9" s="107">
        <f>ROUNDDOWN(J18,-5)</f>
        <v>15400000</v>
      </c>
      <c r="E9" s="107"/>
      <c r="F9" s="108"/>
      <c r="G9" s="54">
        <f>ROUNDDOWN(J18,-5)</f>
        <v>15400000</v>
      </c>
      <c r="H9" s="109" t="s">
        <v>46</v>
      </c>
      <c r="I9" s="110"/>
      <c r="J9" s="111"/>
    </row>
    <row r="10" spans="1:11" ht="15.75" customHeight="1" thickTop="1" x14ac:dyDescent="0.3">
      <c r="B10" s="112"/>
      <c r="C10" s="113"/>
      <c r="D10" s="113"/>
      <c r="E10" s="113"/>
      <c r="F10" s="113"/>
      <c r="G10" s="113"/>
      <c r="H10" s="113"/>
      <c r="I10" s="113"/>
      <c r="J10" s="114"/>
    </row>
    <row r="11" spans="1:11" ht="16.5" customHeight="1" x14ac:dyDescent="0.3">
      <c r="A11" s="14"/>
      <c r="B11" s="53"/>
      <c r="C11" s="52"/>
      <c r="D11" s="52"/>
      <c r="E11" s="52"/>
      <c r="F11" s="52"/>
      <c r="G11" s="52"/>
      <c r="H11" s="52"/>
      <c r="I11" s="52"/>
      <c r="J11" s="51"/>
    </row>
    <row r="12" spans="1:11" ht="41.25" customHeight="1" x14ac:dyDescent="0.3">
      <c r="A12" s="14"/>
      <c r="B12" s="50" t="s">
        <v>45</v>
      </c>
      <c r="C12" s="48" t="s">
        <v>44</v>
      </c>
      <c r="D12" s="48" t="s">
        <v>43</v>
      </c>
      <c r="E12" s="48" t="s">
        <v>42</v>
      </c>
      <c r="F12" s="117" t="s">
        <v>41</v>
      </c>
      <c r="G12" s="118"/>
      <c r="H12" s="49" t="s">
        <v>40</v>
      </c>
      <c r="I12" s="48" t="s">
        <v>39</v>
      </c>
      <c r="J12" s="47" t="s">
        <v>38</v>
      </c>
      <c r="K12" s="9"/>
    </row>
    <row r="13" spans="1:11" ht="24.95" customHeight="1" x14ac:dyDescent="0.3">
      <c r="A13" s="14"/>
      <c r="B13" s="119" t="s">
        <v>37</v>
      </c>
      <c r="C13" s="46" t="s">
        <v>59</v>
      </c>
      <c r="D13" s="45" t="s">
        <v>35</v>
      </c>
      <c r="E13" s="45">
        <v>1</v>
      </c>
      <c r="F13" s="115">
        <f>IF(D13="초급",$J$35,IF(D13="중급",$J$34,IF(D13="고급",$J$33,IF(D13="특급",$J$32,"-"))))</f>
        <v>5578650</v>
      </c>
      <c r="G13" s="116"/>
      <c r="H13" s="44">
        <v>3</v>
      </c>
      <c r="I13" s="44">
        <v>3</v>
      </c>
      <c r="J13" s="43">
        <f>E13*F13*I13</f>
        <v>16735950</v>
      </c>
      <c r="K13" s="9"/>
    </row>
    <row r="14" spans="1:11" ht="24.95" customHeight="1" x14ac:dyDescent="0.3">
      <c r="A14" s="14"/>
      <c r="B14" s="119"/>
      <c r="C14" s="46" t="s">
        <v>60</v>
      </c>
      <c r="D14" s="45" t="s">
        <v>36</v>
      </c>
      <c r="E14" s="45">
        <v>1</v>
      </c>
      <c r="F14" s="115">
        <f>IF(D14="초급",$J$35,IF(D14="중급",$J$34,IF(D14="고급",$J$33,IF(D14="특급",$J$32,"-"))))</f>
        <v>6959232</v>
      </c>
      <c r="G14" s="116"/>
      <c r="H14" s="44">
        <v>3</v>
      </c>
      <c r="I14" s="44">
        <v>3</v>
      </c>
      <c r="J14" s="43">
        <f>E14*F14*I14</f>
        <v>20877696</v>
      </c>
      <c r="K14" s="9"/>
    </row>
    <row r="15" spans="1:11" ht="24.95" customHeight="1" x14ac:dyDescent="0.3">
      <c r="A15" s="14"/>
      <c r="B15" s="119"/>
      <c r="C15" s="46" t="s">
        <v>61</v>
      </c>
      <c r="D15" s="45" t="s">
        <v>36</v>
      </c>
      <c r="E15" s="45">
        <v>1</v>
      </c>
      <c r="F15" s="115">
        <f>IF(D15="초급",$J$35,IF(D15="중급",$J$34,IF(D15="고급",$J$33,IF(D15="특급",$J$32,"-"))))</f>
        <v>6959232</v>
      </c>
      <c r="G15" s="116"/>
      <c r="H15" s="44">
        <v>3</v>
      </c>
      <c r="I15" s="44">
        <v>3</v>
      </c>
      <c r="J15" s="43">
        <f>E15*F15*I15</f>
        <v>20877696</v>
      </c>
      <c r="K15" s="9"/>
    </row>
    <row r="16" spans="1:11" ht="24.95" customHeight="1" thickBot="1" x14ac:dyDescent="0.35">
      <c r="A16" s="14"/>
      <c r="B16" s="120"/>
      <c r="C16" s="123" t="s">
        <v>34</v>
      </c>
      <c r="D16" s="124"/>
      <c r="E16" s="124"/>
      <c r="F16" s="124"/>
      <c r="G16" s="124"/>
      <c r="H16" s="125"/>
      <c r="I16" s="42">
        <f>SUM(I13:I15)</f>
        <v>9</v>
      </c>
      <c r="J16" s="41">
        <f>SUM(J13:J15)</f>
        <v>58491342</v>
      </c>
      <c r="K16" s="9"/>
    </row>
    <row r="17" spans="1:12" ht="31.5" customHeight="1" thickBot="1" x14ac:dyDescent="0.35">
      <c r="A17" s="14"/>
      <c r="B17" s="90" t="s">
        <v>33</v>
      </c>
      <c r="C17" s="91"/>
      <c r="D17" s="91"/>
      <c r="E17" s="91"/>
      <c r="F17" s="91"/>
      <c r="G17" s="40" t="s">
        <v>32</v>
      </c>
      <c r="H17" s="39">
        <v>0.75</v>
      </c>
      <c r="I17" s="38">
        <f>I16</f>
        <v>9</v>
      </c>
      <c r="J17" s="37">
        <f>ROUNDDOWN((J16-J16*H17),-6)</f>
        <v>14000000</v>
      </c>
      <c r="K17" s="36"/>
      <c r="L17" s="4"/>
    </row>
    <row r="18" spans="1:12" ht="31.5" customHeight="1" thickBot="1" x14ac:dyDescent="0.35">
      <c r="A18" s="14"/>
      <c r="B18" s="99" t="s">
        <v>31</v>
      </c>
      <c r="C18" s="99"/>
      <c r="D18" s="99"/>
      <c r="E18" s="99"/>
      <c r="F18" s="99"/>
      <c r="G18" s="70">
        <f>ROUNDDOWN((J17),0)+J17*$H$18</f>
        <v>15400000</v>
      </c>
      <c r="H18" s="71">
        <v>0.1</v>
      </c>
      <c r="I18" s="72"/>
      <c r="J18" s="35">
        <f>ROUNDDOWN((G18),-4)</f>
        <v>15400000</v>
      </c>
      <c r="K18" s="34"/>
      <c r="L18" s="33"/>
    </row>
    <row r="19" spans="1:12" ht="20.100000000000001" customHeight="1" x14ac:dyDescent="0.3">
      <c r="B19" s="23"/>
      <c r="C19" s="23"/>
      <c r="D19" s="23"/>
      <c r="E19" s="23"/>
      <c r="F19" s="25"/>
      <c r="G19" s="25"/>
      <c r="H19" s="24"/>
      <c r="I19" s="24"/>
      <c r="J19" s="23"/>
    </row>
    <row r="20" spans="1:12" ht="24.95" customHeight="1" x14ac:dyDescent="0.3">
      <c r="B20" s="32" t="s">
        <v>30</v>
      </c>
      <c r="C20" s="9"/>
      <c r="E20" s="9"/>
      <c r="F20" s="1"/>
      <c r="G20" s="9"/>
      <c r="H20" s="1"/>
      <c r="I20" s="9"/>
    </row>
    <row r="21" spans="1:12" ht="24.95" customHeight="1" x14ac:dyDescent="0.3">
      <c r="A21" s="14"/>
      <c r="B21" s="31" t="s">
        <v>29</v>
      </c>
      <c r="C21" s="100" t="s">
        <v>28</v>
      </c>
      <c r="D21" s="85"/>
      <c r="E21" s="85"/>
      <c r="F21" s="85"/>
      <c r="G21" s="85"/>
      <c r="H21" s="85"/>
      <c r="I21" s="85"/>
      <c r="J21" s="85"/>
      <c r="K21" s="9"/>
    </row>
    <row r="22" spans="1:12" ht="24.95" customHeight="1" x14ac:dyDescent="0.3">
      <c r="A22" s="14"/>
      <c r="B22" s="82" t="s">
        <v>27</v>
      </c>
      <c r="C22" s="101" t="s">
        <v>26</v>
      </c>
      <c r="D22" s="101"/>
      <c r="E22" s="101"/>
      <c r="F22" s="101"/>
      <c r="G22" s="101"/>
      <c r="H22" s="101"/>
      <c r="I22" s="101"/>
      <c r="J22" s="100"/>
      <c r="K22" s="9"/>
    </row>
    <row r="23" spans="1:12" ht="24.95" customHeight="1" x14ac:dyDescent="0.3">
      <c r="A23" s="14"/>
      <c r="B23" s="84"/>
      <c r="C23" s="102" t="s">
        <v>25</v>
      </c>
      <c r="D23" s="102"/>
      <c r="E23" s="102"/>
      <c r="F23" s="102"/>
      <c r="G23" s="102"/>
      <c r="H23" s="102"/>
      <c r="I23" s="102"/>
      <c r="J23" s="103"/>
      <c r="K23" s="9"/>
    </row>
    <row r="24" spans="1:12" ht="24.95" customHeight="1" x14ac:dyDescent="0.3">
      <c r="A24" s="14"/>
      <c r="B24" s="82" t="s">
        <v>24</v>
      </c>
      <c r="C24" s="30" t="s">
        <v>23</v>
      </c>
      <c r="D24" s="85" t="s">
        <v>22</v>
      </c>
      <c r="E24" s="85"/>
      <c r="F24" s="85"/>
      <c r="G24" s="85"/>
      <c r="H24" s="85"/>
      <c r="I24" s="85"/>
      <c r="J24" s="85"/>
      <c r="K24" s="9"/>
    </row>
    <row r="25" spans="1:12" ht="24.95" customHeight="1" x14ac:dyDescent="0.3">
      <c r="A25" s="14"/>
      <c r="B25" s="84"/>
      <c r="C25" s="28" t="s">
        <v>21</v>
      </c>
      <c r="D25" s="92" t="s">
        <v>20</v>
      </c>
      <c r="E25" s="92"/>
      <c r="F25" s="92"/>
      <c r="G25" s="92"/>
      <c r="H25" s="92"/>
      <c r="I25" s="92"/>
      <c r="J25" s="92"/>
      <c r="K25" s="9"/>
    </row>
    <row r="26" spans="1:12" ht="24.95" customHeight="1" x14ac:dyDescent="0.3">
      <c r="A26" s="14"/>
      <c r="B26" s="82" t="s">
        <v>19</v>
      </c>
      <c r="C26" s="30" t="s">
        <v>18</v>
      </c>
      <c r="D26" s="85" t="s">
        <v>17</v>
      </c>
      <c r="E26" s="85"/>
      <c r="F26" s="85"/>
      <c r="G26" s="85"/>
      <c r="H26" s="85"/>
      <c r="I26" s="85"/>
      <c r="J26" s="85"/>
      <c r="K26" s="9"/>
    </row>
    <row r="27" spans="1:12" ht="24.95" customHeight="1" x14ac:dyDescent="0.3">
      <c r="A27" s="14"/>
      <c r="B27" s="83"/>
      <c r="C27" s="29" t="s">
        <v>16</v>
      </c>
      <c r="D27" s="86" t="s">
        <v>15</v>
      </c>
      <c r="E27" s="87"/>
      <c r="F27" s="87"/>
      <c r="G27" s="87"/>
      <c r="H27" s="93" t="s">
        <v>14</v>
      </c>
      <c r="I27" s="93"/>
      <c r="J27" s="94"/>
      <c r="K27" s="9"/>
    </row>
    <row r="28" spans="1:12" ht="24.95" customHeight="1" x14ac:dyDescent="0.3">
      <c r="A28" s="14"/>
      <c r="B28" s="83"/>
      <c r="C28" s="29" t="s">
        <v>13</v>
      </c>
      <c r="D28" s="86" t="s">
        <v>11</v>
      </c>
      <c r="E28" s="87"/>
      <c r="F28" s="87"/>
      <c r="G28" s="87"/>
      <c r="H28" s="95"/>
      <c r="I28" s="95"/>
      <c r="J28" s="96"/>
      <c r="K28" s="9"/>
    </row>
    <row r="29" spans="1:12" ht="24.95" customHeight="1" x14ac:dyDescent="0.3">
      <c r="A29" s="14"/>
      <c r="B29" s="84"/>
      <c r="C29" s="28" t="s">
        <v>12</v>
      </c>
      <c r="D29" s="88" t="s">
        <v>11</v>
      </c>
      <c r="E29" s="89"/>
      <c r="F29" s="89"/>
      <c r="G29" s="89"/>
      <c r="H29" s="97"/>
      <c r="I29" s="97"/>
      <c r="J29" s="98"/>
      <c r="K29" s="9"/>
    </row>
    <row r="30" spans="1:12" ht="28.5" customHeight="1" x14ac:dyDescent="0.25">
      <c r="B30" s="27" t="s">
        <v>10</v>
      </c>
      <c r="C30" s="23"/>
      <c r="D30" s="23"/>
      <c r="E30" s="23"/>
      <c r="F30" s="26">
        <v>21</v>
      </c>
      <c r="G30" s="25"/>
      <c r="H30" s="24"/>
      <c r="I30" s="24"/>
      <c r="J30" s="23"/>
    </row>
    <row r="31" spans="1:12" ht="41.25" customHeight="1" x14ac:dyDescent="0.3">
      <c r="A31" s="14"/>
      <c r="B31" s="22" t="s">
        <v>9</v>
      </c>
      <c r="C31" s="21" t="s">
        <v>8</v>
      </c>
      <c r="D31" s="79" t="s">
        <v>7</v>
      </c>
      <c r="E31" s="80"/>
      <c r="F31" s="81"/>
      <c r="G31" s="20" t="s">
        <v>6</v>
      </c>
      <c r="H31" s="79" t="s">
        <v>5</v>
      </c>
      <c r="I31" s="81"/>
      <c r="J31" s="19" t="s">
        <v>4</v>
      </c>
      <c r="K31" s="9"/>
    </row>
    <row r="32" spans="1:12" ht="20.100000000000001" customHeight="1" x14ac:dyDescent="0.3">
      <c r="A32" s="14"/>
      <c r="B32" s="18" t="s">
        <v>3</v>
      </c>
      <c r="C32" s="17">
        <v>373593</v>
      </c>
      <c r="D32" s="73">
        <f>C32*F30</f>
        <v>7845453</v>
      </c>
      <c r="E32" s="74"/>
      <c r="F32" s="75"/>
      <c r="G32" s="16" t="s">
        <v>62</v>
      </c>
      <c r="H32" s="73">
        <f>SUM(D32:G32)*0.2</f>
        <v>1569090.6</v>
      </c>
      <c r="I32" s="75"/>
      <c r="J32" s="15">
        <f>SUM(D32:I32)</f>
        <v>9414543.5999999996</v>
      </c>
      <c r="K32" s="9"/>
    </row>
    <row r="33" spans="1:12" ht="20.100000000000001" customHeight="1" x14ac:dyDescent="0.3">
      <c r="A33" s="14"/>
      <c r="B33" s="18" t="s">
        <v>2</v>
      </c>
      <c r="C33" s="17">
        <v>276160</v>
      </c>
      <c r="D33" s="73">
        <f>C33*F30</f>
        <v>5799360</v>
      </c>
      <c r="E33" s="74"/>
      <c r="F33" s="75"/>
      <c r="G33" s="16" t="s">
        <v>62</v>
      </c>
      <c r="H33" s="73">
        <f>SUM(D33:G33)*0.2</f>
        <v>1159872</v>
      </c>
      <c r="I33" s="75"/>
      <c r="J33" s="15">
        <f>SUM(D33:I33)</f>
        <v>6959232</v>
      </c>
      <c r="K33" s="9"/>
    </row>
    <row r="34" spans="1:12" ht="20.100000000000001" customHeight="1" x14ac:dyDescent="0.3">
      <c r="A34" s="14"/>
      <c r="B34" s="18" t="s">
        <v>1</v>
      </c>
      <c r="C34" s="17">
        <v>221375</v>
      </c>
      <c r="D34" s="73">
        <f>C34*F30</f>
        <v>4648875</v>
      </c>
      <c r="E34" s="74"/>
      <c r="F34" s="75"/>
      <c r="G34" s="16" t="s">
        <v>62</v>
      </c>
      <c r="H34" s="73">
        <f>SUM(D34:G34)*0.2</f>
        <v>929775</v>
      </c>
      <c r="I34" s="75"/>
      <c r="J34" s="15">
        <f>SUM(D34:I34)</f>
        <v>5578650</v>
      </c>
      <c r="K34" s="9"/>
      <c r="L34" s="5"/>
    </row>
    <row r="35" spans="1:12" ht="20.100000000000001" customHeight="1" x14ac:dyDescent="0.3">
      <c r="A35" s="14"/>
      <c r="B35" s="13" t="s">
        <v>0</v>
      </c>
      <c r="C35" s="12">
        <v>190787</v>
      </c>
      <c r="D35" s="76">
        <f>C35*F30</f>
        <v>4006527</v>
      </c>
      <c r="E35" s="77"/>
      <c r="F35" s="78"/>
      <c r="G35" s="11" t="s">
        <v>62</v>
      </c>
      <c r="H35" s="76">
        <f>SUM(D35:G35)*0.2</f>
        <v>801305.4</v>
      </c>
      <c r="I35" s="78"/>
      <c r="J35" s="10">
        <f>SUM(D35:I35)</f>
        <v>4807832.4000000004</v>
      </c>
      <c r="K35" s="9"/>
      <c r="L35" s="5"/>
    </row>
    <row r="36" spans="1:12" ht="6.75" customHeight="1" x14ac:dyDescent="0.3">
      <c r="B36" s="6"/>
      <c r="C36" s="6"/>
      <c r="D36" s="6"/>
      <c r="E36" s="6"/>
      <c r="F36" s="8"/>
      <c r="G36" s="8"/>
      <c r="H36" s="7"/>
      <c r="I36" s="7"/>
      <c r="J36" s="6"/>
      <c r="L36" s="5"/>
    </row>
    <row r="37" spans="1:12" ht="20.100000000000001" customHeight="1" x14ac:dyDescent="0.3">
      <c r="J37" s="4"/>
    </row>
    <row r="40" spans="1:12" ht="20.100000000000001" customHeight="1" x14ac:dyDescent="0.3">
      <c r="C40" s="4"/>
    </row>
    <row r="41" spans="1:12" ht="20.100000000000001" customHeight="1" x14ac:dyDescent="0.3">
      <c r="C41" s="4"/>
    </row>
  </sheetData>
  <mergeCells count="43">
    <mergeCell ref="C6:F6"/>
    <mergeCell ref="C7:F7"/>
    <mergeCell ref="C16:H16"/>
    <mergeCell ref="H6:J6"/>
    <mergeCell ref="B2:J2"/>
    <mergeCell ref="C4:F4"/>
    <mergeCell ref="H4:J4"/>
    <mergeCell ref="C5:F5"/>
    <mergeCell ref="H5:J5"/>
    <mergeCell ref="H7:J7"/>
    <mergeCell ref="D9:F9"/>
    <mergeCell ref="H9:J9"/>
    <mergeCell ref="B10:J10"/>
    <mergeCell ref="F15:G15"/>
    <mergeCell ref="F12:G12"/>
    <mergeCell ref="B13:B16"/>
    <mergeCell ref="F13:G13"/>
    <mergeCell ref="F14:G14"/>
    <mergeCell ref="B17:F17"/>
    <mergeCell ref="B24:B25"/>
    <mergeCell ref="D24:J24"/>
    <mergeCell ref="D25:J25"/>
    <mergeCell ref="H27:J29"/>
    <mergeCell ref="B18:F18"/>
    <mergeCell ref="C21:J21"/>
    <mergeCell ref="B22:B23"/>
    <mergeCell ref="C22:J22"/>
    <mergeCell ref="C23:J23"/>
    <mergeCell ref="D31:F31"/>
    <mergeCell ref="H31:I31"/>
    <mergeCell ref="B26:B29"/>
    <mergeCell ref="D26:J26"/>
    <mergeCell ref="D27:G27"/>
    <mergeCell ref="D28:G28"/>
    <mergeCell ref="D29:G29"/>
    <mergeCell ref="D34:F34"/>
    <mergeCell ref="H34:I34"/>
    <mergeCell ref="D35:F35"/>
    <mergeCell ref="H35:I35"/>
    <mergeCell ref="D32:F32"/>
    <mergeCell ref="H32:I32"/>
    <mergeCell ref="D33:F33"/>
    <mergeCell ref="H33:I33"/>
  </mergeCells>
  <phoneticPr fontId="3" type="noConversion"/>
  <printOptions horizontalCentered="1"/>
  <pageMargins left="0.31496062992125984" right="0.31496062992125984" top="0.59055118110236227" bottom="0.59055118110236227" header="0.35433070866141736" footer="0.35433070866141736"/>
  <pageSetup paperSize="9" scale="5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유창혜</cp:lastModifiedBy>
  <dcterms:created xsi:type="dcterms:W3CDTF">2019-01-18T11:22:17Z</dcterms:created>
  <dcterms:modified xsi:type="dcterms:W3CDTF">2026-04-28T13:56:55Z</dcterms:modified>
</cp:coreProperties>
</file>