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E:\01. 강의\05.산출물\PM강의 - 복사본 (2)\02.구축(PM)\05. 견적산출\"/>
    </mc:Choice>
  </mc:AlternateContent>
  <xr:revisionPtr revIDLastSave="0" documentId="13_ncr:1_{321447DA-DBC6-443B-9804-6CF8F175A194}" xr6:coauthVersionLast="47" xr6:coauthVersionMax="47" xr10:uidLastSave="{00000000-0000-0000-0000-000000000000}"/>
  <bookViews>
    <workbookView xWindow="585" yWindow="75" windowWidth="18105" windowHeight="15765" tabRatio="883" activeTab="1" xr2:uid="{00000000-000D-0000-FFFF-FFFF00000000}"/>
  </bookViews>
  <sheets>
    <sheet name="00.작성방법" sheetId="62" r:id="rId1"/>
    <sheet name="01.견적내기" sheetId="78" r:id="rId2"/>
    <sheet name="03.direct" sheetId="64" r:id="rId3"/>
    <sheet name="04.indirect" sheetId="65" r:id="rId4"/>
    <sheet name="ITSQF 직무체계 및 정의 (2)" sheetId="88" r:id="rId5"/>
    <sheet name="(구)등급별 평균임금" sheetId="79" r:id="rId6"/>
    <sheet name="IT직무별 평균임금" sheetId="84" r:id="rId7"/>
    <sheet name="IT직무별 상하위 구간 평균임금" sheetId="86" r:id="rId8"/>
    <sheet name="ITSQF 직무체계 및 정의" sheetId="85" r:id="rId9"/>
    <sheet name="(구)등급 분류기준" sheetId="82" r:id="rId10"/>
    <sheet name="SW기술자범위" sheetId="87" r:id="rId11"/>
  </sheets>
  <externalReferences>
    <externalReference r:id="rId12"/>
    <externalReference r:id="rId13"/>
    <externalReference r:id="rId14"/>
    <externalReference r:id="rId15"/>
  </externalReferences>
  <definedNames>
    <definedName name="__PN1" localSheetId="1">'[1]Upgrades pricing'!#REF!</definedName>
    <definedName name="__PN1">'[1]Upgrades pricing'!#REF!</definedName>
    <definedName name="_1.05gb_nonplug_drive" localSheetId="1">[2]Supplement2!#REF!</definedName>
    <definedName name="_1.05gb_nonplug_drive">[2]Supplement2!#REF!</definedName>
    <definedName name="_1.05gb_plug_drive" localSheetId="1">[2]Supplement2!#REF!</definedName>
    <definedName name="_1.05gb_plug_drive">[2]Supplement2!#REF!</definedName>
    <definedName name="_2.1gb_fastwide_plug_drive" localSheetId="1">[2]Supplement2!#REF!</definedName>
    <definedName name="_2.1gb_fastwide_plug_drive">[2]Supplement2!#REF!</definedName>
    <definedName name="_2.1gb_nonplug_drive" localSheetId="1">[2]Supplement2!#REF!</definedName>
    <definedName name="_2.1gb_nonplug_drive">[2]Supplement2!#REF!</definedName>
    <definedName name="_2.1gb_plug_drive" localSheetId="1">[2]Supplement2!#REF!</definedName>
    <definedName name="_2.1gb_plug_drive">[2]Supplement2!#REF!</definedName>
    <definedName name="_32mb_70nsmemory" localSheetId="1">[2]Supplement2!#REF!</definedName>
    <definedName name="_32mb_70nsmemory">[2]Supplement2!#REF!</definedName>
    <definedName name="_4.3gb_fastwide_plug_drive" localSheetId="1">[2]Supplement2!#REF!</definedName>
    <definedName name="_4.3gb_fastwide_plug_drive">[2]Supplement2!#REF!</definedName>
    <definedName name="_4.3gb_nonplug_drive" localSheetId="1">[2]Supplement2!#REF!</definedName>
    <definedName name="_4.3gb_nonplug_drive">[2]Supplement2!#REF!</definedName>
    <definedName name="_535mb_nonplug_drive" localSheetId="1">[2]Supplement2!#REF!</definedName>
    <definedName name="_535mb_nonplug_drive">[2]Supplement2!#REF!</definedName>
    <definedName name="_8mb_70nsmemory" localSheetId="1">[2]Supplement2!#REF!</definedName>
    <definedName name="_8mb_70nsmemory">[2]Supplement2!#REF!</definedName>
    <definedName name="_SMART_SCSIarray" localSheetId="1">[2]Supplement2!#REF!</definedName>
    <definedName name="_SMART_SCSIarray">[2]Supplement2!#REF!</definedName>
    <definedName name="_US1" localSheetId="1">#REF!</definedName>
    <definedName name="_US1">#REF!</definedName>
    <definedName name="Chart_1">"Chart 1"</definedName>
    <definedName name="COMPAQ_LIST">'[3]COMPAQ-LIST'!$A:$A</definedName>
    <definedName name="COMPAQ_RANGE">'[3]COMPAQ-LIST'!$A:$C</definedName>
    <definedName name="cost" localSheetId="1">#REF!</definedName>
    <definedName name="cost">#REF!</definedName>
    <definedName name="DazzlerPCI_array" localSheetId="1">[2]Supplement2!#REF!</definedName>
    <definedName name="DazzlerPCI_array">[2]Supplement2!#REF!</definedName>
    <definedName name="dfsa" localSheetId="1">[2]Supplement2!#REF!</definedName>
    <definedName name="dfsa">[2]Supplement2!#REF!</definedName>
    <definedName name="GM" localSheetId="1">#REF!</definedName>
    <definedName name="GM">#REF!</definedName>
    <definedName name="minus" localSheetId="1">#REF!</definedName>
    <definedName name="minus">#REF!</definedName>
    <definedName name="MODEL" localSheetId="1">#REF!</definedName>
    <definedName name="MODEL">#REF!</definedName>
    <definedName name="model2" localSheetId="1">#REF!</definedName>
    <definedName name="model2">#REF!</definedName>
    <definedName name="PL_storage" localSheetId="1">[2]Supplement2!#REF!</definedName>
    <definedName name="PL_storage">[2]Supplement2!#REF!</definedName>
    <definedName name="PN" localSheetId="1">'[1]Upgrades pricing'!#REF!</definedName>
    <definedName name="PN">'[1]Upgrades pricing'!#REF!</definedName>
    <definedName name="_xlnm.Print_Titles" localSheetId="8">'ITSQF 직무체계 및 정의'!$3:$3</definedName>
    <definedName name="_xlnm.Print_Titles" localSheetId="4">'ITSQF 직무체계 및 정의 (2)'!$3:$3</definedName>
    <definedName name="RANGE" localSheetId="1">#REF!</definedName>
    <definedName name="RANGE">#REF!</definedName>
    <definedName name="Scorpion_M2_processor" localSheetId="1">[2]Supplement2!#REF!</definedName>
    <definedName name="Scorpion_M2_processor">[2]Supplement2!#REF!</definedName>
    <definedName name="Seawolf_M2_processor" localSheetId="1">[2]Supplement2!#REF!</definedName>
    <definedName name="Seawolf_M2_processor">[2]Supplement2!#REF!</definedName>
    <definedName name="seawolf_TRadder" localSheetId="1">#REF!</definedName>
    <definedName name="seawolf_TRadder">#REF!</definedName>
    <definedName name="SM">'[4]model master'!$A$2:$A$65</definedName>
    <definedName name="SRP" localSheetId="1">#REF!</definedName>
    <definedName name="SRP">#REF!</definedName>
    <definedName name="Sturgeon_M2_processor" localSheetId="1">[2]Supplement2!#REF!</definedName>
    <definedName name="Sturgeon_M2_processor">[2]Supplement2!#REF!</definedName>
    <definedName name="SVR">'[4]model master'!$A$2:$R$65</definedName>
    <definedName name="TStorm_M2_Processor" localSheetId="1">[2]Supplement2!#REF!</definedName>
    <definedName name="TStorm_M2_Processor">[2]Supplement2!#REF!</definedName>
    <definedName name="UPG_PN" localSheetId="1">#REF!</definedName>
    <definedName name="UPG_PN">#REF!</definedName>
    <definedName name="가나다라마바사" localSheetId="1">[2]Supplement2!#REF!</definedName>
    <definedName name="가나다라마바사">[2]Supplement2!#REF!</definedName>
    <definedName name="ㅁㄴㅇㄹ" localSheetId="1">[2]Supplement2!#REF!</definedName>
    <definedName name="ㅁㄴㅇㄹ">[2]Supplement2!#REF!</definedName>
  </definedNames>
  <calcPr calcId="181029"/>
  <customWorkbookViews>
    <customWorkbookView name="sangk - 사용자 보기" guid="{9378D3D4-5AB9-4A7C-8681-F3EB6AF9F8EC}" mergeInterval="0" personalView="1" maximized="1" windowWidth="1276" windowHeight="665" tabRatio="864" activeSheetId="10"/>
    <customWorkbookView name="angie - 사용자 보기" guid="{9101B1C8-62FB-4730-AA10-6AD3CC17DC0A}" mergeInterval="0" personalView="1" maximized="1" windowWidth="1208" windowHeight="846" tabRatio="841" activeSheetId="7"/>
    <customWorkbookView name="Customer - 사용자 보기" guid="{D0922303-1E3E-4501-B520-749279201815}" mergeInterval="0" personalView="1" maximized="1" windowWidth="1020" windowHeight="597" tabRatio="864" activeSheetId="4"/>
    <customWorkbookView name="andrew - 사용자 보기" guid="{F19F9C75-F1DB-42AD-9562-E100AAE6E277}" mergeInterval="0" personalView="1" maximized="1" windowWidth="1276" windowHeight="639" tabRatio="807" activeSheetId="9"/>
    <customWorkbookView name="amy9410 - 사용자 보기" guid="{E3012477-0A52-4E16-90AD-19F84EE8BF30}" mergeInterval="0" personalView="1" maximized="1" windowWidth="1276" windowHeight="827" tabRatio="932" activeSheetId="2"/>
    <customWorkbookView name="dreaming - 사용자 보기" guid="{5B539EA2-8219-40BD-AB89-CA548D10F9D2}" mergeInterval="0" personalView="1" maximized="1" windowWidth="1020" windowHeight="604" tabRatio="864" activeSheetId="20"/>
    <customWorkbookView name="강수영 - 사용자 보기" guid="{FA889DD8-BB1C-416B-959F-A2625A689D9C}" mergeInterval="0" personalView="1" maximized="1" windowWidth="1276" windowHeight="797" tabRatio="898" activeSheetId="17"/>
    <customWorkbookView name="ejkwon - 사용자 보기" guid="{3487681C-908A-4598-B3EB-4FF4051D9377}" mergeInterval="0" personalView="1" maximized="1" windowWidth="1356" windowHeight="849" tabRatio="898" activeSheetId="4"/>
    <customWorkbookView name="jmchae74 - 사용자 보기" guid="{90656A91-066E-4B8C-AB81-F2483F14B0C4}" mergeInterval="0" personalView="1" maximized="1" windowWidth="1276" windowHeight="800" tabRatio="898" activeSheetId="10"/>
    <customWorkbookView name="VINYL - 사용자 보기" guid="{4CF98455-30C0-4BE9-AA1B-62A2391A5AC0}" mergeInterval="0" personalView="1" maximized="1" windowWidth="1276" windowHeight="822" tabRatio="807" activeSheetId="9"/>
    <customWorkbookView name="iryo99 - 사용자 보기" guid="{8662D5C1-A21D-4B30-B99F-9FA1EE33830B}" mergeInterval="0" personalView="1" maximized="1" windowWidth="1276" windowHeight="860" tabRatio="898" activeSheetId="15"/>
    <customWorkbookView name="macbeth - 사용자 보기" guid="{AC92597D-A9C2-47CB-A544-57B995F961F4}" mergeInterval="0" personalView="1" maximized="1" windowWidth="1276" windowHeight="879" tabRatio="864" activeSheetId="9"/>
    <customWorkbookView name="vinyl-com - 사용자 보기" guid="{13B7BB0A-FF28-4A0D-8EC1-467A53C7B7B0}" mergeInterval="0" personalView="1" maximized="1" windowWidth="1276" windowHeight="853" tabRatio="841" activeSheetId="11"/>
  </customWorkbookView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8" i="64" l="1"/>
  <c r="D10" i="64"/>
  <c r="D9" i="64"/>
  <c r="F70" i="78"/>
  <c r="M6" i="78"/>
  <c r="F20" i="64"/>
  <c r="F9" i="78" l="1"/>
  <c r="D6" i="64"/>
  <c r="D5" i="64"/>
  <c r="D7" i="64"/>
  <c r="D4" i="64"/>
  <c r="H19" i="79" l="1"/>
  <c r="H18" i="79"/>
  <c r="H17" i="79"/>
  <c r="H16" i="79"/>
  <c r="H15" i="79"/>
  <c r="H14" i="79"/>
  <c r="H13" i="79"/>
  <c r="H12" i="79"/>
  <c r="H11" i="79"/>
  <c r="I11" i="79" s="1"/>
  <c r="AD49" i="78" l="1"/>
  <c r="AC49" i="78"/>
  <c r="AB49" i="78"/>
  <c r="AA49" i="78"/>
  <c r="Z49" i="78"/>
  <c r="Y49" i="78"/>
  <c r="X49" i="78"/>
  <c r="W49" i="78"/>
  <c r="V49" i="78"/>
  <c r="U49" i="78"/>
  <c r="T49" i="78"/>
  <c r="S49" i="78"/>
  <c r="R49" i="78"/>
  <c r="Q49" i="78"/>
  <c r="P49" i="78"/>
  <c r="O49" i="78"/>
  <c r="N49" i="78"/>
  <c r="M49" i="78"/>
  <c r="L49" i="78"/>
  <c r="J49" i="78" s="1"/>
  <c r="K49" i="78"/>
  <c r="H49" i="78" s="1"/>
  <c r="J48" i="78"/>
  <c r="H48" i="78"/>
  <c r="J47" i="78"/>
  <c r="H47" i="78"/>
  <c r="J46" i="78"/>
  <c r="H46" i="78"/>
  <c r="K44" i="78"/>
  <c r="M44" i="78" s="1"/>
  <c r="O44" i="78" s="1"/>
  <c r="Q44" i="78" s="1"/>
  <c r="S44" i="78" s="1"/>
  <c r="U44" i="78" s="1"/>
  <c r="W44" i="78" s="1"/>
  <c r="Y44" i="78" s="1"/>
  <c r="AA44" i="78" s="1"/>
  <c r="AC44" i="78" s="1"/>
  <c r="I40" i="78"/>
  <c r="AD39" i="78"/>
  <c r="AD40" i="78" s="1"/>
  <c r="AD52" i="78" s="1"/>
  <c r="AC39" i="78"/>
  <c r="AC40" i="78" s="1"/>
  <c r="AC52" i="78" s="1"/>
  <c r="AB39" i="78"/>
  <c r="AB40" i="78" s="1"/>
  <c r="AB52" i="78" s="1"/>
  <c r="AA39" i="78"/>
  <c r="AA40" i="78" s="1"/>
  <c r="AA52" i="78" s="1"/>
  <c r="Z39" i="78"/>
  <c r="Z40" i="78" s="1"/>
  <c r="Z52" i="78" s="1"/>
  <c r="Y39" i="78"/>
  <c r="Y40" i="78" s="1"/>
  <c r="Y52" i="78" s="1"/>
  <c r="X39" i="78"/>
  <c r="X40" i="78" s="1"/>
  <c r="X52" i="78" s="1"/>
  <c r="W39" i="78"/>
  <c r="W40" i="78" s="1"/>
  <c r="W52" i="78" s="1"/>
  <c r="V39" i="78"/>
  <c r="V40" i="78" s="1"/>
  <c r="V52" i="78" s="1"/>
  <c r="U39" i="78"/>
  <c r="U40" i="78" s="1"/>
  <c r="U52" i="78" s="1"/>
  <c r="T39" i="78"/>
  <c r="T40" i="78" s="1"/>
  <c r="T52" i="78" s="1"/>
  <c r="S39" i="78"/>
  <c r="S40" i="78" s="1"/>
  <c r="S52" i="78" s="1"/>
  <c r="R39" i="78"/>
  <c r="R40" i="78" s="1"/>
  <c r="R52" i="78" s="1"/>
  <c r="Q39" i="78"/>
  <c r="Q40" i="78" s="1"/>
  <c r="Q52" i="78" s="1"/>
  <c r="P39" i="78"/>
  <c r="P40" i="78" s="1"/>
  <c r="P52" i="78" s="1"/>
  <c r="O39" i="78"/>
  <c r="O40" i="78" s="1"/>
  <c r="O52" i="78" s="1"/>
  <c r="N39" i="78"/>
  <c r="N40" i="78" s="1"/>
  <c r="N52" i="78" s="1"/>
  <c r="M39" i="78"/>
  <c r="M40" i="78" s="1"/>
  <c r="M52" i="78" s="1"/>
  <c r="L39" i="78"/>
  <c r="L40" i="78" s="1"/>
  <c r="L52" i="78" s="1"/>
  <c r="K39" i="78"/>
  <c r="K40" i="78" s="1"/>
  <c r="K52" i="78" s="1"/>
  <c r="J38" i="78"/>
  <c r="H38" i="78"/>
  <c r="J37" i="78"/>
  <c r="H37" i="78"/>
  <c r="J36" i="78"/>
  <c r="H36" i="78"/>
  <c r="K34" i="78"/>
  <c r="M34" i="78" s="1"/>
  <c r="O34" i="78" s="1"/>
  <c r="Q34" i="78" s="1"/>
  <c r="S34" i="78" s="1"/>
  <c r="U34" i="78" s="1"/>
  <c r="W34" i="78" s="1"/>
  <c r="Y34" i="78" s="1"/>
  <c r="AA34" i="78" s="1"/>
  <c r="AC34" i="78" s="1"/>
  <c r="I30" i="78"/>
  <c r="AD29" i="78"/>
  <c r="AC29" i="78"/>
  <c r="AB29" i="78"/>
  <c r="AA29" i="78"/>
  <c r="Z29" i="78"/>
  <c r="Y29" i="78"/>
  <c r="X29" i="78"/>
  <c r="W29" i="78"/>
  <c r="V29" i="78"/>
  <c r="U29" i="78"/>
  <c r="T29" i="78"/>
  <c r="S29" i="78"/>
  <c r="R29" i="78"/>
  <c r="Q29" i="78"/>
  <c r="P29" i="78"/>
  <c r="O29" i="78"/>
  <c r="N29" i="78"/>
  <c r="M29" i="78"/>
  <c r="L29" i="78"/>
  <c r="K29" i="78"/>
  <c r="J28" i="78"/>
  <c r="H28" i="78"/>
  <c r="J27" i="78"/>
  <c r="H27" i="78"/>
  <c r="J26" i="78"/>
  <c r="H26" i="78"/>
  <c r="AD25" i="78"/>
  <c r="AC25" i="78"/>
  <c r="AC30" i="78" s="1"/>
  <c r="AC51" i="78" s="1"/>
  <c r="AB25" i="78"/>
  <c r="AA25" i="78"/>
  <c r="Z25" i="78"/>
  <c r="Y25" i="78"/>
  <c r="Y30" i="78" s="1"/>
  <c r="Y51" i="78" s="1"/>
  <c r="X25" i="78"/>
  <c r="W25" i="78"/>
  <c r="V25" i="78"/>
  <c r="U25" i="78"/>
  <c r="U30" i="78" s="1"/>
  <c r="U51" i="78" s="1"/>
  <c r="T25" i="78"/>
  <c r="S25" i="78"/>
  <c r="R25" i="78"/>
  <c r="Q25" i="78"/>
  <c r="Q30" i="78" s="1"/>
  <c r="Q51" i="78" s="1"/>
  <c r="P25" i="78"/>
  <c r="O25" i="78"/>
  <c r="N25" i="78"/>
  <c r="M25" i="78"/>
  <c r="M30" i="78" s="1"/>
  <c r="M51" i="78" s="1"/>
  <c r="L25" i="78"/>
  <c r="K25" i="78"/>
  <c r="J24" i="78"/>
  <c r="H24" i="78"/>
  <c r="J23" i="78"/>
  <c r="H23" i="78"/>
  <c r="J22" i="78"/>
  <c r="H22" i="78"/>
  <c r="J21" i="78"/>
  <c r="H21" i="78"/>
  <c r="K19" i="78"/>
  <c r="M19" i="78" s="1"/>
  <c r="O19" i="78" s="1"/>
  <c r="Q19" i="78" s="1"/>
  <c r="S19" i="78" s="1"/>
  <c r="U19" i="78" s="1"/>
  <c r="W19" i="78" s="1"/>
  <c r="Y19" i="78" s="1"/>
  <c r="AA19" i="78" s="1"/>
  <c r="AC19" i="78" s="1"/>
  <c r="AD14" i="78"/>
  <c r="AC14" i="78"/>
  <c r="AB14" i="78"/>
  <c r="AA14" i="78"/>
  <c r="Z14" i="78"/>
  <c r="Y14" i="78"/>
  <c r="X14" i="78"/>
  <c r="W14" i="78"/>
  <c r="V14" i="78"/>
  <c r="U14" i="78"/>
  <c r="T14" i="78"/>
  <c r="S14" i="78"/>
  <c r="R14" i="78"/>
  <c r="Q14" i="78"/>
  <c r="P14" i="78"/>
  <c r="O14" i="78"/>
  <c r="N14" i="78"/>
  <c r="M14" i="78"/>
  <c r="L14" i="78"/>
  <c r="K14" i="78"/>
  <c r="I13" i="78"/>
  <c r="G13" i="78"/>
  <c r="F13" i="78"/>
  <c r="I12" i="78"/>
  <c r="G12" i="78"/>
  <c r="F12" i="78"/>
  <c r="I11" i="78"/>
  <c r="G11" i="78"/>
  <c r="F11" i="78"/>
  <c r="I10" i="78"/>
  <c r="G10" i="78"/>
  <c r="F10" i="78"/>
  <c r="I9" i="78"/>
  <c r="G9" i="78"/>
  <c r="I8" i="78"/>
  <c r="G8" i="78"/>
  <c r="F8" i="78"/>
  <c r="O6" i="78"/>
  <c r="Q6" i="78" s="1"/>
  <c r="S6" i="78" s="1"/>
  <c r="U6" i="78" s="1"/>
  <c r="W6" i="78" s="1"/>
  <c r="Y6" i="78" s="1"/>
  <c r="AA6" i="78" s="1"/>
  <c r="AC6" i="78" s="1"/>
  <c r="K15" i="78" l="1"/>
  <c r="J12" i="78"/>
  <c r="K30" i="78"/>
  <c r="K51" i="78" s="1"/>
  <c r="O30" i="78"/>
  <c r="O51" i="78" s="1"/>
  <c r="H51" i="78" s="1"/>
  <c r="S30" i="78"/>
  <c r="S51" i="78" s="1"/>
  <c r="W30" i="78"/>
  <c r="W51" i="78" s="1"/>
  <c r="AA30" i="78"/>
  <c r="AA51" i="78" s="1"/>
  <c r="L30" i="78"/>
  <c r="L51" i="78" s="1"/>
  <c r="P30" i="78"/>
  <c r="P51" i="78" s="1"/>
  <c r="T30" i="78"/>
  <c r="T51" i="78" s="1"/>
  <c r="X30" i="78"/>
  <c r="X51" i="78" s="1"/>
  <c r="AB30" i="78"/>
  <c r="AB51" i="78" s="1"/>
  <c r="H29" i="78"/>
  <c r="N30" i="78"/>
  <c r="N51" i="78" s="1"/>
  <c r="R30" i="78"/>
  <c r="R51" i="78" s="1"/>
  <c r="V30" i="78"/>
  <c r="V51" i="78" s="1"/>
  <c r="Z30" i="78"/>
  <c r="Z51" i="78" s="1"/>
  <c r="AD30" i="78"/>
  <c r="AD51" i="78" s="1"/>
  <c r="J52" i="78"/>
  <c r="J29" i="78"/>
  <c r="H13" i="78"/>
  <c r="H52" i="78"/>
  <c r="J11" i="78"/>
  <c r="H25" i="78"/>
  <c r="H39" i="78"/>
  <c r="H40" i="78" s="1"/>
  <c r="J25" i="78"/>
  <c r="J39" i="78"/>
  <c r="J40" i="78" s="1"/>
  <c r="I14" i="78"/>
  <c r="H8" i="78"/>
  <c r="G14" i="78"/>
  <c r="H9" i="78"/>
  <c r="H10" i="78"/>
  <c r="AA15" i="78"/>
  <c r="AA50" i="78" s="1"/>
  <c r="AA53" i="78" s="1"/>
  <c r="AA54" i="78" s="1"/>
  <c r="AA55" i="78" s="1"/>
  <c r="AA56" i="78" s="1"/>
  <c r="H11" i="78"/>
  <c r="H12" i="78"/>
  <c r="Q15" i="78"/>
  <c r="Q50" i="78" s="1"/>
  <c r="Q53" i="78" s="1"/>
  <c r="Q54" i="78" s="1"/>
  <c r="Q55" i="78" s="1"/>
  <c r="Q56" i="78" s="1"/>
  <c r="J9" i="78"/>
  <c r="J13" i="78"/>
  <c r="L15" i="78"/>
  <c r="L50" i="78" s="1"/>
  <c r="L53" i="78" s="1"/>
  <c r="P15" i="78"/>
  <c r="P50" i="78" s="1"/>
  <c r="P53" i="78" s="1"/>
  <c r="P54" i="78" s="1"/>
  <c r="P55" i="78" s="1"/>
  <c r="P56" i="78" s="1"/>
  <c r="T15" i="78"/>
  <c r="T50" i="78" s="1"/>
  <c r="T53" i="78" s="1"/>
  <c r="T54" i="78" s="1"/>
  <c r="T55" i="78" s="1"/>
  <c r="T56" i="78" s="1"/>
  <c r="X15" i="78"/>
  <c r="X50" i="78" s="1"/>
  <c r="X53" i="78" s="1"/>
  <c r="X54" i="78" s="1"/>
  <c r="X55" i="78" s="1"/>
  <c r="X56" i="78" s="1"/>
  <c r="AB15" i="78"/>
  <c r="AB50" i="78" s="1"/>
  <c r="AB53" i="78" s="1"/>
  <c r="AC15" i="78"/>
  <c r="AC50" i="78" s="1"/>
  <c r="AC53" i="78" s="1"/>
  <c r="J10" i="78"/>
  <c r="M15" i="78"/>
  <c r="Y15" i="78"/>
  <c r="Y50" i="78" s="1"/>
  <c r="Y53" i="78" s="1"/>
  <c r="N15" i="78"/>
  <c r="N50" i="78" s="1"/>
  <c r="N53" i="78" s="1"/>
  <c r="N54" i="78" s="1"/>
  <c r="N55" i="78" s="1"/>
  <c r="N56" i="78" s="1"/>
  <c r="R15" i="78"/>
  <c r="R50" i="78" s="1"/>
  <c r="R53" i="78" s="1"/>
  <c r="V15" i="78"/>
  <c r="V50" i="78" s="1"/>
  <c r="V53" i="78" s="1"/>
  <c r="Z15" i="78"/>
  <c r="Z50" i="78" s="1"/>
  <c r="Z53" i="78" s="1"/>
  <c r="Z54" i="78" s="1"/>
  <c r="Z55" i="78" s="1"/>
  <c r="Z56" i="78" s="1"/>
  <c r="AD15" i="78"/>
  <c r="AD50" i="78" s="1"/>
  <c r="AD53" i="78" s="1"/>
  <c r="AD54" i="78" s="1"/>
  <c r="AD55" i="78" s="1"/>
  <c r="AD56" i="78" s="1"/>
  <c r="U15" i="78"/>
  <c r="U50" i="78" s="1"/>
  <c r="U53" i="78" s="1"/>
  <c r="U54" i="78" s="1"/>
  <c r="U55" i="78" s="1"/>
  <c r="U56" i="78" s="1"/>
  <c r="J8" i="78"/>
  <c r="O15" i="78"/>
  <c r="S15" i="78"/>
  <c r="S50" i="78" s="1"/>
  <c r="S53" i="78" s="1"/>
  <c r="S54" i="78" s="1"/>
  <c r="S55" i="78" s="1"/>
  <c r="S56" i="78" s="1"/>
  <c r="W15" i="78"/>
  <c r="W50" i="78" s="1"/>
  <c r="AB54" i="78" l="1"/>
  <c r="AB55" i="78" s="1"/>
  <c r="AB56" i="78" s="1"/>
  <c r="L54" i="78"/>
  <c r="L55" i="78" s="1"/>
  <c r="P16" i="78"/>
  <c r="H30" i="78"/>
  <c r="M50" i="78"/>
  <c r="M53" i="78" s="1"/>
  <c r="M54" i="78" s="1"/>
  <c r="M55" i="78" s="1"/>
  <c r="M56" i="78" s="1"/>
  <c r="N16" i="78"/>
  <c r="J51" i="78"/>
  <c r="O50" i="78"/>
  <c r="O53" i="78" s="1"/>
  <c r="O54" i="78" s="1"/>
  <c r="O55" i="78" s="1"/>
  <c r="O56" i="78" s="1"/>
  <c r="K50" i="78"/>
  <c r="K53" i="78" s="1"/>
  <c r="K54" i="78" s="1"/>
  <c r="K55" i="78" s="1"/>
  <c r="L16" i="78"/>
  <c r="V54" i="78"/>
  <c r="V55" i="78" s="1"/>
  <c r="V56" i="78" s="1"/>
  <c r="J30" i="78"/>
  <c r="Y54" i="78"/>
  <c r="Y55" i="78" s="1"/>
  <c r="Y56" i="78" s="1"/>
  <c r="AC54" i="78"/>
  <c r="AC55" i="78" s="1"/>
  <c r="AC56" i="78" s="1"/>
  <c r="H14" i="78"/>
  <c r="R54" i="78"/>
  <c r="R55" i="78" s="1"/>
  <c r="R56" i="78" s="1"/>
  <c r="J14" i="78"/>
  <c r="J50" i="78"/>
  <c r="W53" i="78"/>
  <c r="W54" i="78" s="1"/>
  <c r="W55" i="78" s="1"/>
  <c r="W56" i="78" s="1"/>
  <c r="J53" i="78"/>
  <c r="J16" i="78" l="1"/>
  <c r="H50" i="78"/>
  <c r="H54" i="78"/>
  <c r="J54" i="78"/>
  <c r="H53" i="78"/>
  <c r="K57" i="78"/>
  <c r="M57" i="78" s="1"/>
  <c r="O57" i="78" s="1"/>
  <c r="Q57" i="78" s="1"/>
  <c r="S57" i="78" s="1"/>
  <c r="U57" i="78" s="1"/>
  <c r="W57" i="78" s="1"/>
  <c r="Y57" i="78" s="1"/>
  <c r="AA57" i="78" s="1"/>
  <c r="AC57" i="78" s="1"/>
  <c r="K56" i="78"/>
  <c r="H55" i="78"/>
  <c r="F59" i="78" s="1"/>
  <c r="F69" i="78" s="1"/>
  <c r="L57" i="78"/>
  <c r="N57" i="78" s="1"/>
  <c r="P57" i="78" s="1"/>
  <c r="R57" i="78" s="1"/>
  <c r="T57" i="78" s="1"/>
  <c r="V57" i="78" s="1"/>
  <c r="X57" i="78" s="1"/>
  <c r="Z57" i="78" s="1"/>
  <c r="AB57" i="78" s="1"/>
  <c r="AD57" i="78" s="1"/>
  <c r="L56" i="78"/>
  <c r="J55" i="78"/>
  <c r="J56" i="78" s="1"/>
  <c r="F63" i="78" l="1"/>
  <c r="F64" i="78" s="1"/>
  <c r="F66" i="78"/>
  <c r="F67" i="78" s="1"/>
  <c r="F60" i="78"/>
  <c r="F61" i="78" s="1"/>
  <c r="H56" i="78"/>
  <c r="D14" i="64" l="1"/>
</calcChain>
</file>

<file path=xl/sharedStrings.xml><?xml version="1.0" encoding="utf-8"?>
<sst xmlns="http://schemas.openxmlformats.org/spreadsheetml/2006/main" count="568" uniqueCount="302">
  <si>
    <t>직접인건비</t>
    <phoneticPr fontId="3" type="noConversion"/>
  </si>
  <si>
    <t>직접경비</t>
    <phoneticPr fontId="3" type="noConversion"/>
  </si>
  <si>
    <t>외주비</t>
    <phoneticPr fontId="3" type="noConversion"/>
  </si>
  <si>
    <t>간접비</t>
    <phoneticPr fontId="3" type="noConversion"/>
  </si>
  <si>
    <t>투입인당 간접인건비, 기타간접비 등</t>
    <phoneticPr fontId="3" type="noConversion"/>
  </si>
  <si>
    <t>투입인원</t>
    <phoneticPr fontId="3" type="noConversion"/>
  </si>
  <si>
    <t>금액</t>
    <phoneticPr fontId="3" type="noConversion"/>
  </si>
  <si>
    <t>MM</t>
    <phoneticPr fontId="3" type="noConversion"/>
  </si>
  <si>
    <t>계획</t>
  </si>
  <si>
    <t>실행</t>
  </si>
  <si>
    <t>실행</t>
    <phoneticPr fontId="3" type="noConversion"/>
  </si>
  <si>
    <t>계획</t>
    <phoneticPr fontId="3" type="noConversion"/>
  </si>
  <si>
    <t>내용</t>
    <phoneticPr fontId="3" type="noConversion"/>
  </si>
  <si>
    <t xml:space="preserve">지출 합계액 </t>
    <phoneticPr fontId="3" type="noConversion"/>
  </si>
  <si>
    <t xml:space="preserve">수익   </t>
    <phoneticPr fontId="3" type="noConversion"/>
  </si>
  <si>
    <t xml:space="preserve">수입 합계액 </t>
    <phoneticPr fontId="3" type="noConversion"/>
  </si>
  <si>
    <t>1. 직접인건비</t>
    <phoneticPr fontId="3" type="noConversion"/>
  </si>
  <si>
    <t xml:space="preserve">기준일 : </t>
    <phoneticPr fontId="3" type="noConversion"/>
  </si>
  <si>
    <t>월별 투입일</t>
    <phoneticPr fontId="3" type="noConversion"/>
  </si>
  <si>
    <t>구분</t>
    <phoneticPr fontId="3" type="noConversion"/>
  </si>
  <si>
    <t>역할</t>
    <phoneticPr fontId="3" type="noConversion"/>
  </si>
  <si>
    <t>성명</t>
    <phoneticPr fontId="3" type="noConversion"/>
  </si>
  <si>
    <t>기준금액 (일)</t>
    <phoneticPr fontId="3" type="noConversion"/>
  </si>
  <si>
    <t>기타</t>
    <phoneticPr fontId="3" type="noConversion"/>
  </si>
  <si>
    <t>계</t>
    <phoneticPr fontId="3" type="noConversion"/>
  </si>
  <si>
    <t>항목</t>
    <phoneticPr fontId="3" type="noConversion"/>
  </si>
  <si>
    <t>상세내역</t>
    <phoneticPr fontId="3" type="noConversion"/>
  </si>
  <si>
    <t>3. 외주비</t>
    <phoneticPr fontId="3" type="noConversion"/>
  </si>
  <si>
    <t>수입</t>
    <phoneticPr fontId="3" type="noConversion"/>
  </si>
  <si>
    <t>지출</t>
    <phoneticPr fontId="3" type="noConversion"/>
  </si>
  <si>
    <t xml:space="preserve">수익율   </t>
    <phoneticPr fontId="3" type="noConversion"/>
  </si>
  <si>
    <t xml:space="preserve">수익 누계   </t>
    <phoneticPr fontId="3" type="noConversion"/>
  </si>
  <si>
    <t>기준금액 (월)</t>
    <phoneticPr fontId="3" type="noConversion"/>
  </si>
  <si>
    <t>투입내역</t>
    <phoneticPr fontId="3" type="noConversion"/>
  </si>
  <si>
    <t>야식비</t>
    <phoneticPr fontId="3" type="noConversion"/>
  </si>
  <si>
    <t>교통비</t>
    <phoneticPr fontId="3" type="noConversion"/>
  </si>
  <si>
    <t>진행비</t>
    <phoneticPr fontId="3" type="noConversion"/>
  </si>
  <si>
    <t>보고서 작성비</t>
    <phoneticPr fontId="3" type="noConversion"/>
  </si>
  <si>
    <t>외주</t>
    <phoneticPr fontId="3" type="noConversion"/>
  </si>
  <si>
    <t>잔금</t>
    <phoneticPr fontId="3" type="noConversion"/>
  </si>
  <si>
    <t>중도금</t>
    <phoneticPr fontId="3" type="noConversion"/>
  </si>
  <si>
    <t>4. 수익현황(간접비 포함)</t>
    <phoneticPr fontId="3" type="noConversion"/>
  </si>
  <si>
    <t>경비 금액</t>
    <phoneticPr fontId="3" type="noConversion"/>
  </si>
  <si>
    <t>경비 항목</t>
    <phoneticPr fontId="3" type="noConversion"/>
  </si>
  <si>
    <t>수익율 = 프로젝트 계약금액 - 프로젝트 총 비용(내부 투입인력비 + 외주비 + 영업비 + 기타 프로젝트 완료에 사용된 비용일체)</t>
  </si>
  <si>
    <t xml:space="preserve"> </t>
  </si>
  <si>
    <t>원가계획 &gt; 비용산정 &gt; 비용할당 &gt; 원가통제</t>
  </si>
  <si>
    <t>1. 직접인건비 입력</t>
  </si>
  <si>
    <t>2. 직접경비 입력</t>
  </si>
  <si>
    <t>3. 외주비</t>
  </si>
  <si>
    <t>4. 수익현황</t>
  </si>
  <si>
    <t>②프로젝트 수행기간을 수정한다.(최초 월을 수정하면 최대 6개월까지 자동으로 가산된다)</t>
    <phoneticPr fontId="3" type="noConversion"/>
  </si>
  <si>
    <t>③인력투입 계획란에 수행기간동안 투입할 월별 인력투입 공수를 입력한다(월 22일 기준이며, 일 공수 입력시 M/M와 일 단가가 자동 계산된다)</t>
    <phoneticPr fontId="3" type="noConversion"/>
  </si>
  <si>
    <t>④익월에 전월에 실제 투입일을 입력한다.(월 22일 기준이며, 일 공수 입력시 M/M와 일 단가가 자동 계산된다)</t>
    <phoneticPr fontId="3" type="noConversion"/>
  </si>
  <si>
    <t>⑤직접인건비 총 금액은 자동계산된다.</t>
    <phoneticPr fontId="3" type="noConversion"/>
  </si>
  <si>
    <r>
      <rPr>
        <sz val="9"/>
        <rFont val="맑은 고딕"/>
        <family val="3"/>
        <charset val="129"/>
      </rPr>
      <t>①</t>
    </r>
    <r>
      <rPr>
        <sz val="9"/>
        <rFont val="맑은 고딕"/>
        <family val="3"/>
        <charset val="129"/>
      </rPr>
      <t>직접경비의 경비항목을 확인하고 월별로 예정된 직접경비를 입력한다.</t>
    </r>
    <phoneticPr fontId="3" type="noConversion"/>
  </si>
  <si>
    <r>
      <rPr>
        <sz val="9"/>
        <rFont val="맑은 고딕"/>
        <family val="3"/>
        <charset val="129"/>
      </rPr>
      <t>②</t>
    </r>
    <r>
      <rPr>
        <sz val="9"/>
        <rFont val="맑은 고딕"/>
        <family val="3"/>
        <charset val="129"/>
      </rPr>
      <t>익월에 전월에 실제 사용된 직접경비를 입력한다.</t>
    </r>
    <phoneticPr fontId="3" type="noConversion"/>
  </si>
  <si>
    <r>
      <rPr>
        <sz val="9"/>
        <rFont val="맑은 고딕"/>
        <family val="3"/>
        <charset val="129"/>
      </rPr>
      <t>③</t>
    </r>
    <r>
      <rPr>
        <sz val="9"/>
        <rFont val="맑은 고딕"/>
        <family val="3"/>
        <charset val="129"/>
      </rPr>
      <t>직접경비 총 금액은 자동계산된다.</t>
    </r>
    <phoneticPr fontId="3" type="noConversion"/>
  </si>
  <si>
    <r>
      <rPr>
        <sz val="9"/>
        <rFont val="맑은 고딕"/>
        <family val="3"/>
        <charset val="129"/>
      </rPr>
      <t>①</t>
    </r>
    <r>
      <rPr>
        <sz val="9"/>
        <rFont val="맑은 고딕"/>
        <family val="3"/>
        <charset val="129"/>
      </rPr>
      <t>외주비용이 지급되거나 외주가 예상될 경우 월별로 비용을 입력한다.</t>
    </r>
    <phoneticPr fontId="3" type="noConversion"/>
  </si>
  <si>
    <t>②외주비 총 금액은 자동계산된다.</t>
    <phoneticPr fontId="3" type="noConversion"/>
  </si>
  <si>
    <t xml:space="preserve">①수입부문에 프로젝트 계약금액에 대한 입금계획을 입력한다. </t>
    <phoneticPr fontId="3" type="noConversion"/>
  </si>
  <si>
    <t>등급</t>
    <phoneticPr fontId="3" type="noConversion"/>
  </si>
  <si>
    <t>②지출부문에는 앞서 입력한 직접인건비, 직접경비, 외주비가 자동입력되어 있고, 수익,수익율, 수익목표 월별성취율, 수익목표 월별 누적성취율도 자동입력되어 있다.</t>
    <phoneticPr fontId="3" type="noConversion"/>
  </si>
  <si>
    <r>
      <t>①</t>
    </r>
    <r>
      <rPr>
        <sz val="9"/>
        <rFont val="맑은 고딕"/>
        <family val="3"/>
        <charset val="129"/>
      </rPr>
      <t>투입인원의 역할/성명/등급을 입력한다. 등급을 기입하면 등급에 따른 내부 일별 단가가 자동으로 나타난다.(내부 인력단가는 direct 탭을 참조)</t>
    </r>
    <phoneticPr fontId="3" type="noConversion"/>
  </si>
  <si>
    <t>착수금</t>
    <phoneticPr fontId="3" type="noConversion"/>
  </si>
  <si>
    <t>1. 수익율과 방어율</t>
    <phoneticPr fontId="3" type="noConversion"/>
  </si>
  <si>
    <t>방어율 = 예상된 수익율을 지켜내는 것(공식적인 용어는 아님)</t>
    <phoneticPr fontId="3" type="noConversion"/>
  </si>
  <si>
    <t>2. PM과 원가관리</t>
    <phoneticPr fontId="3" type="noConversion"/>
  </si>
  <si>
    <t>PM은 프로젝트의 수익율을 지키기 위해(방어하기 위해) 일련의 관리활동을 함.</t>
    <phoneticPr fontId="3" type="noConversion"/>
  </si>
  <si>
    <t>관리활동: 인력투입계획 수립, 예상되는 정기수익/지출계획 수립, 발생가능한 영업비 등 프로젝트 기간 내에 수익율에 영향을 끼지는 요인을 점검하는 것.</t>
    <phoneticPr fontId="3" type="noConversion"/>
  </si>
  <si>
    <t>3. 수익율 산출</t>
    <phoneticPr fontId="3" type="noConversion"/>
  </si>
  <si>
    <t>시기: (1차)견적서 작성 시, (2차)수행범위정의 시, (수시)프로젝트 진행 시 필요에 의해</t>
    <phoneticPr fontId="3" type="noConversion"/>
  </si>
  <si>
    <t>수익율 기준: 기본 15% 이상으로 설정. 예외) 수익율에 관계없이 정책적인 필요에 의해 진행되는 경우.</t>
    <phoneticPr fontId="3" type="noConversion"/>
  </si>
  <si>
    <t>5. 수익율관리 단계</t>
    <phoneticPr fontId="3" type="noConversion"/>
  </si>
  <si>
    <t>4. 수익율 변경</t>
    <phoneticPr fontId="3" type="noConversion"/>
  </si>
  <si>
    <t>견적 시 산출된 수익율은 WBS(수행범위)를 설계하면서 실제 투입공수가 변경됨으로 변경됨.(WBS(수행범위)는 계약금액의 근거가 됨)</t>
    <phoneticPr fontId="3" type="noConversion"/>
  </si>
  <si>
    <t>직접인건비 기준</t>
    <phoneticPr fontId="3" type="noConversion"/>
  </si>
  <si>
    <t>기준금액 (월)</t>
    <phoneticPr fontId="3" type="noConversion"/>
  </si>
  <si>
    <t>월평균</t>
    <phoneticPr fontId="3" type="noConversion"/>
  </si>
  <si>
    <t>간접비 기준</t>
    <phoneticPr fontId="3" type="noConversion"/>
  </si>
  <si>
    <t>구분</t>
    <phoneticPr fontId="3" type="noConversion"/>
  </si>
  <si>
    <t>항목</t>
    <phoneticPr fontId="3" type="noConversion"/>
  </si>
  <si>
    <t>간접비율</t>
    <phoneticPr fontId="3" type="noConversion"/>
  </si>
  <si>
    <t>직접인건비대비</t>
    <phoneticPr fontId="3" type="noConversion"/>
  </si>
  <si>
    <t>※ 1인당 월별로 발생하는 간접비 기준</t>
    <phoneticPr fontId="3" type="noConversion"/>
  </si>
  <si>
    <t>외주</t>
    <phoneticPr fontId="3" type="noConversion"/>
  </si>
  <si>
    <t>2. 제경비(직접인건비, 외주비 외 기타경비)</t>
    <phoneticPr fontId="3" type="noConversion"/>
  </si>
  <si>
    <t>착수 시, 종료 시</t>
    <phoneticPr fontId="3" type="noConversion"/>
  </si>
  <si>
    <t>회식비(내부)</t>
    <phoneticPr fontId="3" type="noConversion"/>
  </si>
  <si>
    <t>1인당 1만원, 1주일에 3일 기준</t>
    <phoneticPr fontId="3" type="noConversion"/>
  </si>
  <si>
    <t>야근 택시비</t>
    <phoneticPr fontId="3" type="noConversion"/>
  </si>
  <si>
    <t>고객접대</t>
    <phoneticPr fontId="3" type="noConversion"/>
  </si>
  <si>
    <t>컨소시엄 업체, 고객사</t>
    <phoneticPr fontId="3" type="noConversion"/>
  </si>
  <si>
    <t>기존 외부 플젝 시 복리후생비 월 120~130만원 발생</t>
    <phoneticPr fontId="3" type="noConversion"/>
  </si>
  <si>
    <t>부장</t>
    <phoneticPr fontId="3" type="noConversion"/>
  </si>
  <si>
    <t>대리</t>
    <phoneticPr fontId="3" type="noConversion"/>
  </si>
  <si>
    <t>과장</t>
    <phoneticPr fontId="3" type="noConversion"/>
  </si>
  <si>
    <t>실 수행비(간접비 포함)</t>
    <phoneticPr fontId="3" type="noConversion"/>
  </si>
  <si>
    <t>수익율</t>
    <phoneticPr fontId="27" type="noConversion"/>
  </si>
  <si>
    <t>순이익</t>
    <phoneticPr fontId="27" type="noConversion"/>
  </si>
  <si>
    <t>특급</t>
    <phoneticPr fontId="3" type="noConversion"/>
  </si>
  <si>
    <t>고급</t>
    <phoneticPr fontId="3" type="noConversion"/>
  </si>
  <si>
    <t>중급</t>
    <phoneticPr fontId="3" type="noConversion"/>
  </si>
  <si>
    <t>초급</t>
    <phoneticPr fontId="3" type="noConversion"/>
  </si>
  <si>
    <t>복리후생비</t>
    <phoneticPr fontId="3" type="noConversion"/>
  </si>
  <si>
    <t>솔루션</t>
    <phoneticPr fontId="3" type="noConversion"/>
  </si>
  <si>
    <t>진단평가 솔루션(파수닷컴, 스패로우, 1개월)</t>
    <phoneticPr fontId="3" type="noConversion"/>
  </si>
  <si>
    <t>사원</t>
    <phoneticPr fontId="3" type="noConversion"/>
  </si>
  <si>
    <t>개발</t>
    <phoneticPr fontId="3" type="noConversion"/>
  </si>
  <si>
    <t>기획/디자인</t>
    <phoneticPr fontId="3" type="noConversion"/>
  </si>
  <si>
    <t>■00 견적내기</t>
    <phoneticPr fontId="3" type="noConversion"/>
  </si>
  <si>
    <t>순이익</t>
    <phoneticPr fontId="3" type="noConversion"/>
  </si>
  <si>
    <t>구축</t>
    <phoneticPr fontId="3" type="noConversion"/>
  </si>
  <si>
    <t>주임</t>
    <phoneticPr fontId="3" type="noConversion"/>
  </si>
  <si>
    <t>차장</t>
    <phoneticPr fontId="3" type="noConversion"/>
  </si>
  <si>
    <t>2018년 적용 SW기술자 평균임금</t>
    <phoneticPr fontId="33" type="noConversion"/>
  </si>
  <si>
    <t>통계법 제27조(통계의 공표)에 따라 「2018년 SW기술자 임금실태조사(통계승인 제37501호)」의 SW기술자 평균임금을 공표합니다.</t>
    <phoneticPr fontId="33" type="noConversion"/>
  </si>
  <si>
    <t>【SW기술자 평균임금 - 등급별】</t>
    <phoneticPr fontId="33" type="noConversion"/>
  </si>
  <si>
    <t>(단위 : 명, 원, %)</t>
    <phoneticPr fontId="33" type="noConversion"/>
  </si>
  <si>
    <t>구 분</t>
  </si>
  <si>
    <t>인원</t>
  </si>
  <si>
    <t>일평균임금(M/D)</t>
  </si>
  <si>
    <t>월평균임금</t>
  </si>
  <si>
    <t>시간평균임금</t>
  </si>
  <si>
    <t>2017년</t>
  </si>
  <si>
    <t>2018년</t>
  </si>
  <si>
    <t>(증가율)</t>
  </si>
  <si>
    <t>(M/M)</t>
  </si>
  <si>
    <t>(M/H)</t>
  </si>
  <si>
    <t>기술사</t>
  </si>
  <si>
    <t>특급기술자</t>
  </si>
  <si>
    <t>고급기술자</t>
  </si>
  <si>
    <t>중급기술자</t>
  </si>
  <si>
    <t>초급기술자</t>
  </si>
  <si>
    <t>고급기능사</t>
  </si>
  <si>
    <t>중급기능사</t>
  </si>
  <si>
    <t>초급기능사</t>
  </si>
  <si>
    <t>자료입력원</t>
  </si>
  <si>
    <t>계/평균</t>
  </si>
  <si>
    <t>&lt;평균임금 SW사업대가 활용시 유의사항&gt;
※ 본 조사결과는 SW사업에서 반드시 활용해야 하는 강제사항은 아님
※ 등급별 평균임금은 2019년에는 공표하지 않고, IT직무별 평균임금을 공표할 예정임</t>
    <phoneticPr fontId="33" type="noConversion"/>
  </si>
  <si>
    <t xml:space="preserve"> * SW기술자 평균임금은 소프트웨어산업진흥법 제22조(소프트웨어사업의 대가지급) 4항 ‘소프트웨어기술자의 노임단가’를 지칭함
 * SW기술자 평균임금은 기본급, 제수당, 상여금, 퇴직급여충당금, 법인부담금을 모두 포함한 결과임
 * 월평균임금은 일평균*근무일수(20.8일), 시간평균임금은 일평균÷8시간으로 각각 산정함
 * 월평균 근무일수는 휴일, 법정공휴일 등을 제외한 업체의 응답된 근무일의 평균이며, 이는 개인의 휴가 사용여부와는 무관함
 * SW기술자 평균임금은 2017년 대비 4.6% 증가함
 * DB구축비 대가기준 가이드에서 활용되는 자료입력원 평균임금 내 기본급은 2018년 93,287원임</t>
    <phoneticPr fontId="33" type="noConversion"/>
  </si>
  <si>
    <t>[시행일] 2018년 9월 1일부터 2019년 8월 31일까지 적용</t>
    <phoneticPr fontId="33" type="noConversion"/>
  </si>
  <si>
    <t>한국소프트웨어산업협회장</t>
  </si>
  <si>
    <t>번호</t>
  </si>
  <si>
    <t>ITSQF 직무</t>
  </si>
  <si>
    <t>조사용직무</t>
    <phoneticPr fontId="33" type="noConversion"/>
  </si>
  <si>
    <t xml:space="preserve">직무 정의 </t>
  </si>
  <si>
    <t>정보기술기획</t>
  </si>
  <si>
    <t>IT기획자</t>
  </si>
  <si>
    <t>조직의 경영목표를 달성하기 위하여 IT전략을 기획하고, 거버넌스, 투자성과분석, 운영 정책, R&amp;D, 프로세스, 아키텍처 등 분야 별 전략을 수립하는 자이다.</t>
  </si>
  <si>
    <t>IT컨설턴트</t>
  </si>
  <si>
    <t>조직의 목표를 달성하는데 도움이 될 수 있도록, 객관적인 시각에서 조직 경영 환경을 이해하고 대상 업무 및 정보시스템을 분석하여 개선 방안을 지도, 자문 및 상담을 수행하는 자이다.　</t>
  </si>
  <si>
    <t xml:space="preserve">주요 정보자산을 보호하기 위한 관리적, 물리적, 기술적 영역의 보안 요구사항과 사전 정의된 프로세스에 대해 객관적인 충족여부를 검증하고 자문하는 자이다. </t>
  </si>
  <si>
    <t>업무분석</t>
  </si>
  <si>
    <t xml:space="preserve">업무분석가 </t>
  </si>
  <si>
    <t>데이터분석</t>
  </si>
  <si>
    <t>데이터분석가</t>
  </si>
  <si>
    <t>데이터 이해 및 처리 기술에 대한 기본지식을 바탕으로 데이터 분석 기획, 데이터 분석, 데이터 시각화 업무를 수행하고 이를 통해 프로세스 혁신 및 마케팅 전략 결정 등의 과학적 의사결정을 지원하는 자이다.</t>
  </si>
  <si>
    <t>IT PM</t>
  </si>
  <si>
    <t>IT프로젝트 인도물의 납기 준수를 위하여 프로젝트를 기획하고, 범위, 일정, 원가, 인적자원, 품질, 위험, 의사소통, 조달, 변경, 보안, 정보시스템 성과 등을 통합 관리하는 자이다.　</t>
  </si>
  <si>
    <t>IT프로젝트사업관리</t>
    <phoneticPr fontId="33" type="noConversion"/>
  </si>
  <si>
    <t>IT PMO</t>
  </si>
  <si>
    <t>명확한 의사결정과 방향 설정이 가능토록 지표를 제공하고 사업관리 지침 및 표준화 방안 제시, 주요이슈, 위험, 자원, 일정/문서, 범위관리를 통하여 프로젝트 수행을 지원하는 자이다.　</t>
  </si>
  <si>
    <t>SW아키텍처</t>
  </si>
  <si>
    <t>SW 아키텍트</t>
    <phoneticPr fontId="33" type="noConversion"/>
  </si>
  <si>
    <t>SW의 기능, 성능, 보안 등의 품질을 보장하고 SW를 구성하는 요소와 관계를 분석, 설계하여 전체적인 SW 구조를 체계화하는 자이다.　</t>
  </si>
  <si>
    <t>Infrastructure아키텍처</t>
    <phoneticPr fontId="33" type="noConversion"/>
  </si>
  <si>
    <t>Infrastructure아키텍트</t>
    <phoneticPr fontId="33" type="noConversion"/>
  </si>
  <si>
    <t>하드웨어, 미들웨어, 네트워크, 클라우드를 포함하는 인프라를 설계, 구성하여 모든 지원들의 적합성 및 신뢰성 있는 서비스를 제공할 수 있도록 체계화하는 자이다.</t>
  </si>
  <si>
    <t>데이터아키텍처</t>
  </si>
  <si>
    <t>데이터를 구조적 관점에서 설계, 생성, 배치, 관리하며, 다양한 데이터 엔터티뿐만 아니라 해당 데이터를 처리하는 애플리케이션에 의해 데이터가 저장, 소비, 통합 및 관리될 수 있도록 체계화하는 자이다.</t>
  </si>
  <si>
    <t>UI/UX개발</t>
  </si>
  <si>
    <t>UI/UX개발자</t>
    <phoneticPr fontId="33" type="noConversion"/>
  </si>
  <si>
    <t>사용자의 이용형태 및 기술환경을 분석하여, 사용자 인터페이스(UI/UX)의 기획 및 아키텍처를 구축하고, 프로토타입 검증, 설계 및 구현 과정을 통해 효과적인 UI/UX를 개발하는 자이다.</t>
  </si>
  <si>
    <t>응용SW개발</t>
  </si>
  <si>
    <t>응용SW개발자</t>
    <phoneticPr fontId="33" type="noConversion"/>
  </si>
  <si>
    <t>시스템SW개발</t>
  </si>
  <si>
    <t>시스템SW개발자</t>
    <phoneticPr fontId="33" type="noConversion"/>
  </si>
  <si>
    <t>운영체제 환경에서 시스템 자원을 제어 및 관리하는 소프트웨어와 응용프로그램의 동작을 위한 시스템 플랫폼의 요구사항 분석 및 설계, 구현, 배포를 수행하는 자이다.</t>
  </si>
  <si>
    <t>임베디드SW 개발자</t>
  </si>
  <si>
    <t>하드웨어 플랫폼에 대한 이해를 바탕으로 플랫폼별 운영체제 이식과 펌웨어, 디바이스 드라이버, 애플리케이션 등의 SW를 개발하고, 하드웨어 플랫폼 최적화를 수행하는 자이다.</t>
  </si>
  <si>
    <t xml:space="preserve">데이터베이스 운용자 </t>
  </si>
  <si>
    <t>데이터에 대한 요구사항으로부터 데이터베이스를 설계, 구축, 전환하고, 최적의 성능과 품질을 확보하도록 추이분석 등을 통하여 데이터베이스를 수정, 개선, 백업하는 등의 업무를 수행하는 자이다.</t>
  </si>
  <si>
    <t>NW엔지니어링</t>
  </si>
  <si>
    <t xml:space="preserve">NW엔지니어 </t>
  </si>
  <si>
    <t>네트워크 환경을 분석하고 네트워크에 대한 토폴로지, 자원관리, 품질 관리를 설계하고 구성하는 자이다.</t>
  </si>
  <si>
    <t>IT시스템관리</t>
  </si>
  <si>
    <t>IT시스템운용자</t>
    <phoneticPr fontId="33" type="noConversion"/>
  </si>
  <si>
    <t>시스템 요구사항을 분석하고 클라우드와 가상화, 시스템과 네트워크 및 스토리지 자원의 HW, SW 서비스 플랫폼을 구축, 운영, 관리하여 안정적 컴퓨팅 인프라 및 정보시스템의 운용을 담당하는 자이다.</t>
  </si>
  <si>
    <t>IT지원기술자</t>
  </si>
  <si>
    <t>정보기술 인프라에 대한 이해를 바탕으로 컴퓨터 하드웨어, 스토리지, 클라우드와 가상화, 네트워크 등 IT자원을 이용한 시스템의 구성과 장애처리를 지원하며 시스템 개선 및 정기점검 등을 통해 안정적인 컴퓨팅 인프라 운영을 지원하는 자이다.</t>
  </si>
  <si>
    <t>SW제품기획</t>
  </si>
  <si>
    <t>기업의 경영전략을 바탕으로, SW 활용분야에 대한 기업 내/외부 환경, 요구 기술, 시장성 등을 분석하여 제품 전략을 수립하고, SW제품의 개발, 지원, 판매, 마케팅 계획을 수립, 운용하는 자이다.</t>
  </si>
  <si>
    <t>IT서비스기획</t>
  </si>
  <si>
    <t>IT서비스기획자</t>
    <phoneticPr fontId="33" type="noConversion"/>
  </si>
  <si>
    <t>정보기술 환경 분석을 통해 고객과 시장의 니즈에 맞는 IT서비스를 발굴하고, 제품 및 솔루션 융합으로 새로운 서비스를 기획하는 자이다.</t>
  </si>
  <si>
    <t>IT기술영업</t>
  </si>
  <si>
    <t>정보기술 지식을 바탕으로 고객 관리 및 영업 전략을 수립, 사업기회를 창출하고 요구사항에 적합한 솔루션 제안으로 협상, 계약, 판매 및 사후 관리 등 IT 영업을 수행하는 자이다.</t>
  </si>
  <si>
    <t>IT품질관리</t>
  </si>
  <si>
    <t>IT품질관리자</t>
    <phoneticPr fontId="33" type="noConversion"/>
  </si>
  <si>
    <t>IT품질목표를 달성하기 위하여 전사적인 품질정책 및 관리체계를 수립하고 품질향상을 위해 교육 및 관리활동 등을 수행하며, 프로젝트 차원에서의 품질보증 활동을 수행하는 자이다.</t>
  </si>
  <si>
    <t>IT테스트</t>
  </si>
  <si>
    <t>IT테스터</t>
  </si>
  <si>
    <t>테스트를 효과적으로 수행하기 위해 필요한 기획, 진단 컨설팅, 계획, 환경구축, 실행, 결함관리, 문서화를 수행하고 관리하는 자이다.</t>
  </si>
  <si>
    <t>IT감리</t>
  </si>
  <si>
    <t>IT감사</t>
  </si>
  <si>
    <t>컴퓨터 시스템의 유효성과 효율, 신뢰성, 안전성을 확보하기 위해 독립적인 입장에서 일정한 시스템 감사 기준에 의거하여 시스템을 종합적으로 점검 ·평가하고, 관계자에게 조언 및 권고하는 작업을 수행하는 자이다.</t>
  </si>
  <si>
    <t>정보보호관리</t>
  </si>
  <si>
    <t>조직의 비전과 미션을 수행하기 위하여 정보 자산을 안정적으로 운영하는 데 필요한 보안정책울 수립하고 관련 법제도 준수, 보호관리 활동을 수행하며, 위험관리에 기반한 정보보호 대책을 도출하여 실행토록 관리하는 자이다　</t>
  </si>
  <si>
    <t>보안사고대응</t>
  </si>
  <si>
    <t>침해사고대응전문가</t>
    <phoneticPr fontId="33" type="noConversion"/>
  </si>
  <si>
    <t>침해사고의 피해확산 방지를 위해 위협정보를 탐지하고, 시스템 복구와 예방 전략을 수립하는 일과 업무 및 서비스에 영향을 준 증거를 확보 후 분석하여 신속하게 대응하는 자이다.</t>
  </si>
  <si>
    <t>IT기술교육</t>
  </si>
  <si>
    <t>IT교육강사</t>
  </si>
  <si>
    <t>IT분야의 기술교육을 체계적이고 효과적으로 수행하기 위하여 IT기술교육 방향 수립과 IT기술교육 환경조성, IT기술교육 교과개발 및 자료개발, IT기술교육 성과평가 등을 통해 성과 향상을 수행하는 일이다</t>
  </si>
  <si>
    <t>* ITSQF 참고자료 : https://www.sw.or.kr/site/sw/02/10204020000002017070310.jsp</t>
    <phoneticPr fontId="33" type="noConversion"/>
  </si>
  <si>
    <t xml:space="preserve">  SW기술자 등급제는 2012년 SW산업진흥법에서 폐지되었습니다. 아래의 기준은 등급제 폐지 이전의 등급분류 기준임을 참고하시기 바랍니다.</t>
    <phoneticPr fontId="33" type="noConversion"/>
  </si>
  <si>
    <t>이름</t>
    <phoneticPr fontId="3" type="noConversion"/>
  </si>
  <si>
    <t>이음</t>
    <phoneticPr fontId="3" type="noConversion"/>
  </si>
  <si>
    <t>등급(조정변수)</t>
    <phoneticPr fontId="3" type="noConversion"/>
  </si>
  <si>
    <t>직급(조정변수)</t>
    <phoneticPr fontId="3" type="noConversion"/>
  </si>
  <si>
    <t>고정수익</t>
    <phoneticPr fontId="3" type="noConversion"/>
  </si>
  <si>
    <t>수익률</t>
    <phoneticPr fontId="3" type="noConversion"/>
  </si>
  <si>
    <t>홍길동</t>
    <phoneticPr fontId="3" type="noConversion"/>
  </si>
  <si>
    <t>PM</t>
    <phoneticPr fontId="3" type="noConversion"/>
  </si>
  <si>
    <t>홍길남</t>
    <phoneticPr fontId="3" type="noConversion"/>
  </si>
  <si>
    <t>홍길서</t>
    <phoneticPr fontId="3" type="noConversion"/>
  </si>
  <si>
    <t>고급</t>
    <phoneticPr fontId="3" type="noConversion"/>
  </si>
  <si>
    <t>계획과 실행을 맞바꿈</t>
    <phoneticPr fontId="3" type="noConversion"/>
  </si>
  <si>
    <t>【SW기술자 평균임금】</t>
    <phoneticPr fontId="33" type="noConversion"/>
  </si>
  <si>
    <t>(단위: 원)</t>
    <phoneticPr fontId="33" type="noConversion"/>
  </si>
  <si>
    <t>일평균 임금</t>
  </si>
  <si>
    <t>월평균 임금</t>
  </si>
  <si>
    <t>시간평균 임금</t>
  </si>
  <si>
    <t>1. IT기획자</t>
  </si>
  <si>
    <t>2. IT컨설턴트</t>
  </si>
  <si>
    <t>3. 정보보호컨설턴트</t>
  </si>
  <si>
    <t>4. 업무분석가</t>
  </si>
  <si>
    <t>5. 데이터분석가</t>
  </si>
  <si>
    <t>6. IT PM</t>
  </si>
  <si>
    <t>7. IT PMO</t>
  </si>
  <si>
    <t>8. SW 아키텍트</t>
  </si>
  <si>
    <t>9. Infrastructure아키텍트</t>
  </si>
  <si>
    <t>10. 데이터 아키텍트</t>
  </si>
  <si>
    <t>11. UI/UX 개발자</t>
  </si>
  <si>
    <t>12. UI/UX 디자이너</t>
  </si>
  <si>
    <t>13. 응용SW 개발자</t>
  </si>
  <si>
    <t>14. 시스템SW 개발자</t>
  </si>
  <si>
    <t>15. 임베디드SW 개발자</t>
  </si>
  <si>
    <t>16. 데이터베이스 운용자</t>
  </si>
  <si>
    <t>17. NW엔지니어</t>
  </si>
  <si>
    <t>18. IT시스템운용자</t>
  </si>
  <si>
    <t>19. IT지원 기술자</t>
  </si>
  <si>
    <t>20. SW제품 기획자</t>
  </si>
  <si>
    <t>21. IT서비스 기획자</t>
  </si>
  <si>
    <t>22. IT기술영업</t>
  </si>
  <si>
    <t>23. IT품질관리자</t>
  </si>
  <si>
    <t>24. IT테스터</t>
  </si>
  <si>
    <t>25. IT감리</t>
  </si>
  <si>
    <t>26. IT감사</t>
  </si>
  <si>
    <t>27. 정보보호관리자</t>
  </si>
  <si>
    <t>28. 침해사고대응전문가</t>
  </si>
  <si>
    <t>29 IT교육강사</t>
  </si>
  <si>
    <t>ITSQF 직무체계 및 정의</t>
    <phoneticPr fontId="33" type="noConversion"/>
  </si>
  <si>
    <t>정보기술
컨설팅</t>
    <phoneticPr fontId="33" type="noConversion"/>
  </si>
  <si>
    <t>정보보호
컨설팅</t>
    <phoneticPr fontId="33" type="noConversion"/>
  </si>
  <si>
    <t>정보보호
컨설턴트</t>
    <phoneticPr fontId="33" type="noConversion"/>
  </si>
  <si>
    <r>
      <t>조직의 비전과 목표, 구조, 정책 등의 이해를 바탕으로 업무 요구사항을 도출하고 분석</t>
    </r>
    <r>
      <rPr>
        <vertAlign val="superscript"/>
        <sz val="10"/>
        <color rgb="FF000000"/>
        <rFont val="맑은 고딕"/>
        <family val="3"/>
        <charset val="129"/>
        <scheme val="minor"/>
      </rPr>
      <t>*</t>
    </r>
    <r>
      <rPr>
        <sz val="10"/>
        <color rgb="FF000000"/>
        <rFont val="맑은 고딕"/>
        <family val="3"/>
        <charset val="129"/>
        <scheme val="minor"/>
      </rPr>
      <t>하여, 목적에 부합하는 대응전략 수립하는 자이다.
* 타 직무에서 수행하는 분석, 설계 업무의 혼선 방지를 위해 아래의 주석을 표시함
 1) 분석 : 조직 내·외부의 경영 환경에 영향을 주는 고객과 경쟁기업, 산업동향,             
            내부 역량을 분석하는 능력</t>
    </r>
    <phoneticPr fontId="33" type="noConversion"/>
  </si>
  <si>
    <t>IT프로젝트관리</t>
    <phoneticPr fontId="33" type="noConversion"/>
  </si>
  <si>
    <t>데이터 
아키텍트</t>
    <phoneticPr fontId="33" type="noConversion"/>
  </si>
  <si>
    <t>UI/UX디자인</t>
    <phoneticPr fontId="33" type="noConversion"/>
  </si>
  <si>
    <t>UI/UX디자이너</t>
    <phoneticPr fontId="33" type="noConversion"/>
  </si>
  <si>
    <t xml:space="preserve">UI/UX 디자인의 매체별 트렌드, 사용자 경험 분석을 통해 디자인 전략 및 콘셉트를 도출하고 UI 디자인 요소를 다양한 기법을 활용해 시각화하여 사용자 요구를 검증하고   매체별 최적화된 디자인과 사용성을 제공하는 자이다. </t>
    <phoneticPr fontId="33" type="noConversion"/>
  </si>
  <si>
    <r>
      <t>컴퓨터 프로그래밍 언어로 응용소프트웨어의 분석</t>
    </r>
    <r>
      <rPr>
        <vertAlign val="superscript"/>
        <sz val="10"/>
        <color rgb="FF000000"/>
        <rFont val="맑은 고딕"/>
        <family val="3"/>
        <charset val="129"/>
        <scheme val="minor"/>
      </rPr>
      <t>*</t>
    </r>
    <r>
      <rPr>
        <sz val="10"/>
        <color rgb="FF000000"/>
        <rFont val="맑은 고딕"/>
        <family val="3"/>
        <charset val="129"/>
        <scheme val="minor"/>
      </rPr>
      <t>, 설계</t>
    </r>
    <r>
      <rPr>
        <vertAlign val="superscript"/>
        <sz val="10"/>
        <color rgb="FF000000"/>
        <rFont val="맑은 고딕"/>
        <family val="3"/>
        <charset val="129"/>
        <scheme val="minor"/>
      </rPr>
      <t>*</t>
    </r>
    <r>
      <rPr>
        <sz val="10"/>
        <color rgb="FF000000"/>
        <rFont val="맑은 고딕"/>
        <family val="3"/>
        <charset val="129"/>
        <scheme val="minor"/>
      </rPr>
      <t>, 구현 및 테스트, 배포 등을
통해 제품의 기능을 개발하고 개선하는 자이다.
* 타 직무에서 수행하는 분석, 설계 업무의 혼선 방지를 위해 아래의 주석을 표시함
 1) 분석 : 구현하고자 하는 애플리케이션의 요구사항을 도출, 분석, 명세화 및 요구사항  
            검증을 수행하는 능력
 2) 설계 : 요구사항 확인을 통한 상세분석 결과, SW아키텍쳐 가이드라인 및 
            SW 아키텍처 산출물에 의거하여 이에 따른 애플리케이션 구현을 수행하기 
            위해 공통 모듈 설계, 타 시스템 연동에 대하여 상세 설계하는 능력</t>
    </r>
    <phoneticPr fontId="33" type="noConversion"/>
  </si>
  <si>
    <t>임베디드
SW개발</t>
    <phoneticPr fontId="33" type="noConversion"/>
  </si>
  <si>
    <t>데이터베이스
관리</t>
    <phoneticPr fontId="33" type="noConversion"/>
  </si>
  <si>
    <t>IT시스템
기술지원</t>
    <phoneticPr fontId="33" type="noConversion"/>
  </si>
  <si>
    <t>SW제품 
기획자</t>
    <phoneticPr fontId="33" type="noConversion"/>
  </si>
  <si>
    <t>감리발주자 및 피감리원의 이해관계로부터 독립된 자가 정보시스템의 효율성을 향상시키고 안전성을 확보하기 위하여 제3자의 관점에서 정보시스템의 기획, 구축 및 운영 등에 관한 사항을 종합적으로 점검하고 문제점이 개선 되도록 시정조치사항을 도출하고 확인 하는 자이다.</t>
    <phoneticPr fontId="33" type="noConversion"/>
  </si>
  <si>
    <t>정보보호
관리자</t>
    <phoneticPr fontId="33" type="noConversion"/>
  </si>
  <si>
    <t>전체 평균임금</t>
  </si>
  <si>
    <t>(일평균 임금)</t>
  </si>
  <si>
    <t>(일평균 임금)</t>
    <phoneticPr fontId="33" type="noConversion"/>
  </si>
  <si>
    <t>16. 데이터베이스운용자</t>
  </si>
  <si>
    <r>
      <rPr>
        <b/>
        <sz val="12"/>
        <color theme="1"/>
        <rFont val="맑은 고딕"/>
        <family val="3"/>
        <charset val="129"/>
        <scheme val="minor"/>
      </rPr>
      <t>※ “소프트웨어 기술자”의 범위는 소프트웨어산업진흥법 제2조 5호에서 정한 바에 따름</t>
    </r>
    <r>
      <rPr>
        <sz val="11"/>
        <rFont val="돋움"/>
        <family val="3"/>
        <charset val="129"/>
      </rPr>
      <t xml:space="preserve">
</t>
    </r>
    <r>
      <rPr>
        <b/>
        <sz val="11"/>
        <color theme="1"/>
        <rFont val="맑은 고딕"/>
        <family val="3"/>
        <charset val="129"/>
        <scheme val="minor"/>
      </rPr>
      <t>소프트웨어산업 진흥법 제2조(정의)</t>
    </r>
    <r>
      <rPr>
        <sz val="11"/>
        <rFont val="돋움"/>
        <family val="3"/>
        <charset val="129"/>
      </rPr>
      <t xml:space="preserve">
⑤ "소프트웨어기술자"란 「국가기술자격법」에 따라 정보처리 분야의 기술자격을 취득한 사람 
     또는 소프트웨어 기술 분야에서 대통령령으로 정하는 학력이나 경력을 가진 사람을 말한다.
</t>
    </r>
    <r>
      <rPr>
        <b/>
        <sz val="11"/>
        <color theme="1"/>
        <rFont val="맑은 고딕"/>
        <family val="3"/>
        <charset val="129"/>
        <scheme val="minor"/>
      </rPr>
      <t xml:space="preserve">소프트웨어산업 진흥법 시행령 제1조의2(소프트웨어기술자의 범위) </t>
    </r>
    <r>
      <rPr>
        <sz val="11"/>
        <rFont val="돋움"/>
        <family val="3"/>
        <charset val="129"/>
      </rPr>
      <t xml:space="preserve">
① 「소프트웨어산업 진흥법」(이하 "법"이라 한다) 제2조제5호에서 "대통령령으로 정하는 
    학력이나 경력을 가진 사람"이란 다음 각 호의 어느 하나에 해당하는 사람을 말한다.
   1. 「초·중등교육법」 제2조제3호 또는 「고등교육법」 제2조에 따른 각급 학교에서 
      소프트웨어 기술 분야를 전공한 사람
   2. 소프트웨어 기술을 가진 사람으로서 소프트웨어 기술 분야에서 일정 기간 경력을 
      갖추거나 근무한 사람
   3. 그 밖에 제1호 및 제2호에 따른 기준과 같거나 그 이상의 학력 또는 경력이 있다고 
      인정되는 사람
② 제1항에 따른 소프트웨어기술자에 대한 세부적인 인정 기준 및 절차·방법 등은 
    과학기술정보통신부장관이 정하여 고시한다</t>
    </r>
    <phoneticPr fontId="33" type="noConversion"/>
  </si>
  <si>
    <t>PM</t>
    <phoneticPr fontId="3" type="noConversion"/>
  </si>
  <si>
    <t>UI/UX 개발자</t>
    <phoneticPr fontId="3" type="noConversion"/>
  </si>
  <si>
    <t>UI/UX 디자이너</t>
    <phoneticPr fontId="3" type="noConversion"/>
  </si>
  <si>
    <t>2022년 적용 SW기술자 평균 임금 공표</t>
    <phoneticPr fontId="33" type="noConversion"/>
  </si>
  <si>
    <t xml:space="preserve">통계법 제27조(통계의 공표)에 따라 『2022년 적용 SW기술자 임금실태조사 (통계승인 제375001호)』의 SW기술자 평균임금을 공표합니다. </t>
    <phoneticPr fontId="33" type="noConversion"/>
  </si>
  <si>
    <t>&lt;본 평균임금을 SW사업대가 활용시 유의사항&gt;
※ 본 조사결과는 SW사업에서 SW기술자 인건비로 참고 활용 가능하며, 수‧발주자간 자율적 협의에 의해 
   적용할 수 있음
 * SW기술자 평균임금은 소프트웨어진흥법 제46조(적정대가지급등) 제4항 ‘소프트웨어기술자의 인건비 
   기준’을 지칭함
 * SW기술자 평균임금은 기본급, 제수당, 상여금, 퇴직급여충당금, 법인부담금을 모두 포함한 결과임
 * 일평균임금은 월평균÷근무일수(20.8일), 시간평균임금은 일평균÷8시간으로 각각 산정함
 * 월평균 근무일수는 휴일, 법정공휴일 등을 제외한 업체가 응답한 근무일의 평균이며, 이는 개인의 휴가 
   사용여부와는 무관함
 * SW기술자 전체 평균임금은 전년대비 2.6% 증가
    - 2020년 공표된 평균임금을 변경된 임금추정방식(가중평균)으로 환산하여 비교
 * IT직무 중 26. IT감사, 29.IT교육강사는 유효응답(30명 이상) 표본이 적어 활용시 유의해야함</t>
    <phoneticPr fontId="33" type="noConversion"/>
  </si>
  <si>
    <t>[시행일] 2022년 1월 10일부터 2022년 12월 31일까지 적용</t>
    <phoneticPr fontId="33" type="noConversion"/>
  </si>
  <si>
    <t>2022년 적용 SW기술자 임금실태조사 _ 사분위 값</t>
    <phoneticPr fontId="33" type="noConversion"/>
  </si>
  <si>
    <t>75백분위수</t>
    <phoneticPr fontId="33" type="noConversion"/>
  </si>
  <si>
    <t>25백분위수</t>
    <phoneticPr fontId="33" type="noConversion"/>
  </si>
  <si>
    <t>기획</t>
    <phoneticPr fontId="3" type="noConversion"/>
  </si>
  <si>
    <t>고급</t>
    <phoneticPr fontId="3" type="noConversion"/>
  </si>
  <si>
    <t>디자인</t>
    <phoneticPr fontId="3" type="noConversion"/>
  </si>
  <si>
    <t xml:space="preserve">프리랜서 </t>
    <phoneticPr fontId="3" type="noConversion"/>
  </si>
  <si>
    <t>중급</t>
    <phoneticPr fontId="3" type="noConversion"/>
  </si>
  <si>
    <t>업체</t>
    <phoneticPr fontId="3" type="noConversion"/>
  </si>
  <si>
    <t>턴키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</si>
</sst>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2" formatCode="_-&quot;₩&quot;* #,##0_-;\-&quot;₩&quot;* #,##0_-;_-&quot;₩&quot;* &quot;-&quot;_-;_-@_-"/>
    <numFmt numFmtId="41" formatCode="_-* #,##0_-;\-* #,##0_-;_-* &quot;-&quot;_-;_-@_-"/>
    <numFmt numFmtId="43" formatCode="_-* #,##0.00_-;\-* #,##0.00_-;_-* &quot;-&quot;??_-;_-@_-"/>
    <numFmt numFmtId="176" formatCode="0.0_ "/>
    <numFmt numFmtId="177" formatCode="0\ &quot;일&quot;"/>
    <numFmt numFmtId="178" formatCode="_-* #,##0.0_-;\-* #,##0.0_-;_-* &quot;-&quot;?_-;_-@_-"/>
    <numFmt numFmtId="179" formatCode="&quot;총&quot;\ 0\ &quot;일&quot;"/>
    <numFmt numFmtId="180" formatCode="yyyy&quot;년&quot;\ m&quot;월&quot;"/>
    <numFmt numFmtId="181" formatCode="#,##0_ "/>
    <numFmt numFmtId="182" formatCode="#,##0_);[Red]\(#,##0\)"/>
    <numFmt numFmtId="183" formatCode="_-* #,##0_-;\-* #,##0_-;_-* &quot;-&quot;??_-;_-@_-"/>
    <numFmt numFmtId="184" formatCode="_ * #,##0_ ;_ * \-#,##0_ ;_ * &quot;-&quot;_ ;_ @_ "/>
    <numFmt numFmtId="185" formatCode="_ * #,##0.00_ ;_ * \-#,##0.00_ ;_ * &quot;-&quot;??_ ;_ @_ "/>
    <numFmt numFmtId="186" formatCode="&quot;₩&quot;#,##0;&quot;₩&quot;&quot;₩&quot;&quot;₩&quot;&quot;₩&quot;&quot;₩&quot;&quot;₩&quot;&quot;₩&quot;&quot;₩&quot;\-#,##0"/>
    <numFmt numFmtId="187" formatCode="&quot;₩&quot;#,##0.00;&quot;₩&quot;&quot;₩&quot;&quot;₩&quot;&quot;₩&quot;&quot;₩&quot;&quot;₩&quot;&quot;₩&quot;&quot;₩&quot;\-#,##0.00"/>
    <numFmt numFmtId="188" formatCode="&quot;$&quot;#,##0.00_);[Red]\(&quot;$&quot;#,##0.00\)"/>
    <numFmt numFmtId="189" formatCode="&quot;₩&quot;#,##0;&quot;₩&quot;&quot;₩&quot;&quot;₩&quot;&quot;₩&quot;\-#,##0"/>
    <numFmt numFmtId="190" formatCode="#,##0;[Red]&quot;-&quot;#,##0"/>
    <numFmt numFmtId="191" formatCode="&quot;₩&quot;#,##0;[Red]&quot;₩&quot;&quot;₩&quot;&quot;₩&quot;&quot;₩&quot;\-#,##0"/>
    <numFmt numFmtId="192" formatCode="#,##0.00;[Red]&quot;-&quot;#,##0.00"/>
    <numFmt numFmtId="193" formatCode="_-* #,##0.00_-;&quot;₩&quot;&quot;₩&quot;\-* #,##0.00_-;_-* &quot;-&quot;??_-;_-@_-"/>
    <numFmt numFmtId="194" formatCode="_-&quot;₩&quot;* #,##0.00_-;&quot;₩&quot;&quot;₩&quot;\-&quot;₩&quot;* #,##0.00_-;_-&quot;₩&quot;* &quot;-&quot;??_-;_-@_-"/>
    <numFmt numFmtId="195" formatCode="&quot;₩&quot;#,##0.00;&quot;₩&quot;&quot;₩&quot;&quot;₩&quot;&quot;₩&quot;\-#,##0.00"/>
    <numFmt numFmtId="196" formatCode="0.0%"/>
    <numFmt numFmtId="197" formatCode="0.00_ "/>
    <numFmt numFmtId="198" formatCode="0\ &quot;/ 21&quot;"/>
    <numFmt numFmtId="199" formatCode="0.0_);\(0.0\)"/>
  </numFmts>
  <fonts count="64">
    <font>
      <sz val="11"/>
      <name val="돋움"/>
      <family val="3"/>
      <charset val="129"/>
    </font>
    <font>
      <sz val="11"/>
      <color theme="1"/>
      <name val="맑은 고딕"/>
      <family val="2"/>
      <charset val="129"/>
      <scheme val="minor"/>
    </font>
    <font>
      <sz val="11"/>
      <name val="돋움"/>
      <family val="3"/>
      <charset val="129"/>
    </font>
    <font>
      <sz val="8"/>
      <name val="돋움"/>
      <family val="3"/>
      <charset val="129"/>
    </font>
    <font>
      <sz val="9"/>
      <name val="맑은 고딕"/>
      <family val="3"/>
      <charset val="129"/>
    </font>
    <font>
      <b/>
      <sz val="9"/>
      <name val="맑은 고딕"/>
      <family val="3"/>
      <charset val="129"/>
    </font>
    <font>
      <b/>
      <sz val="9"/>
      <color indexed="9"/>
      <name val="맑은 고딕"/>
      <family val="3"/>
      <charset val="129"/>
    </font>
    <font>
      <sz val="9"/>
      <color indexed="9"/>
      <name val="맑은 고딕"/>
      <family val="3"/>
      <charset val="129"/>
    </font>
    <font>
      <sz val="9"/>
      <name val="맑은 고딕"/>
      <family val="3"/>
      <charset val="129"/>
      <scheme val="minor"/>
    </font>
    <font>
      <b/>
      <sz val="9"/>
      <name val="맑은 고딕"/>
      <family val="3"/>
      <charset val="129"/>
      <scheme val="minor"/>
    </font>
    <font>
      <sz val="9"/>
      <color indexed="53"/>
      <name val="맑은 고딕"/>
      <family val="3"/>
      <charset val="129"/>
    </font>
    <font>
      <sz val="9"/>
      <color indexed="55"/>
      <name val="맑은 고딕"/>
      <family val="3"/>
      <charset val="129"/>
    </font>
    <font>
      <sz val="11"/>
      <color theme="1"/>
      <name val="맑은 고딕"/>
      <family val="3"/>
      <charset val="129"/>
      <scheme val="minor"/>
    </font>
    <font>
      <sz val="12"/>
      <name val="바탕체"/>
      <family val="1"/>
      <charset val="129"/>
    </font>
    <font>
      <sz val="10"/>
      <name val="Helv"/>
      <family val="2"/>
    </font>
    <font>
      <b/>
      <sz val="10"/>
      <name val="Helv"/>
      <family val="2"/>
    </font>
    <font>
      <sz val="10"/>
      <name val="Arial"/>
      <family val="2"/>
    </font>
    <font>
      <sz val="8"/>
      <name val="Arial"/>
      <family val="2"/>
    </font>
    <font>
      <b/>
      <sz val="12"/>
      <name val="Helv"/>
      <family val="2"/>
    </font>
    <font>
      <b/>
      <sz val="12"/>
      <name val="Arial"/>
      <family val="2"/>
    </font>
    <font>
      <b/>
      <sz val="11"/>
      <name val="Helv"/>
      <family val="2"/>
    </font>
    <font>
      <b/>
      <sz val="1"/>
      <color indexed="8"/>
      <name val="Courier"/>
      <family val="3"/>
    </font>
    <font>
      <sz val="1"/>
      <color indexed="8"/>
      <name val="Courier"/>
      <family val="3"/>
    </font>
    <font>
      <u/>
      <sz val="7.5"/>
      <color indexed="36"/>
      <name val="Arial"/>
      <family val="2"/>
    </font>
    <font>
      <sz val="12"/>
      <name val="뼻뮝"/>
      <family val="1"/>
      <charset val="129"/>
    </font>
    <font>
      <b/>
      <sz val="12"/>
      <color indexed="16"/>
      <name val="굴림체"/>
      <family val="3"/>
      <charset val="129"/>
    </font>
    <font>
      <sz val="10"/>
      <name val="명조"/>
      <family val="3"/>
      <charset val="129"/>
    </font>
    <font>
      <sz val="8"/>
      <name val="돋움"/>
      <family val="3"/>
    </font>
    <font>
      <b/>
      <sz val="14"/>
      <name val="맑은 고딕"/>
      <family val="3"/>
      <charset val="129"/>
    </font>
    <font>
      <b/>
      <sz val="16"/>
      <name val="맑은 고딕"/>
      <family val="3"/>
      <charset val="129"/>
    </font>
    <font>
      <sz val="14"/>
      <name val="맑은 고딕"/>
      <family val="3"/>
      <charset val="129"/>
    </font>
    <font>
      <sz val="11"/>
      <color theme="1"/>
      <name val="맑은 고딕"/>
      <family val="2"/>
      <charset val="129"/>
      <scheme val="minor"/>
    </font>
    <font>
      <sz val="20"/>
      <color theme="1"/>
      <name val="HY헤드라인M"/>
      <family val="1"/>
      <charset val="129"/>
    </font>
    <font>
      <sz val="8"/>
      <name val="맑은 고딕"/>
      <family val="2"/>
      <charset val="129"/>
      <scheme val="minor"/>
    </font>
    <font>
      <sz val="10"/>
      <color theme="1"/>
      <name val="맑은 고딕"/>
      <family val="3"/>
      <charset val="129"/>
      <scheme val="minor"/>
    </font>
    <font>
      <sz val="10"/>
      <color theme="1"/>
      <name val="맑은 고딕"/>
      <family val="2"/>
      <charset val="129"/>
      <scheme val="minor"/>
    </font>
    <font>
      <sz val="12"/>
      <color theme="1"/>
      <name val="맑은 고딕"/>
      <family val="3"/>
      <charset val="129"/>
      <scheme val="minor"/>
    </font>
    <font>
      <sz val="10"/>
      <color rgb="FF000000"/>
      <name val="맑은 고딕"/>
      <family val="3"/>
      <charset val="129"/>
      <scheme val="minor"/>
    </font>
    <font>
      <sz val="13"/>
      <color rgb="FF000000"/>
      <name val="HY궁서B"/>
      <family val="1"/>
      <charset val="129"/>
    </font>
    <font>
      <sz val="24"/>
      <color rgb="FF000000"/>
      <name val="HY궁서B"/>
      <family val="1"/>
      <charset val="129"/>
    </font>
    <font>
      <sz val="9"/>
      <color rgb="FF000000"/>
      <name val="맑은 고딕"/>
      <family val="3"/>
      <charset val="129"/>
      <scheme val="minor"/>
    </font>
    <font>
      <sz val="8"/>
      <name val="맑은 고딕"/>
      <family val="3"/>
      <charset val="129"/>
    </font>
    <font>
      <b/>
      <sz val="10"/>
      <name val="맑은 고딕"/>
      <family val="3"/>
      <charset val="129"/>
      <scheme val="minor"/>
    </font>
    <font>
      <sz val="10"/>
      <name val="맑은 고딕"/>
      <family val="3"/>
      <charset val="129"/>
      <scheme val="minor"/>
    </font>
    <font>
      <b/>
      <sz val="10"/>
      <color rgb="FFFF0000"/>
      <name val="맑은 고딕"/>
      <family val="3"/>
      <charset val="129"/>
      <scheme val="minor"/>
    </font>
    <font>
      <sz val="10"/>
      <name val="맑은 고딕"/>
      <family val="3"/>
      <charset val="129"/>
    </font>
    <font>
      <sz val="7"/>
      <name val="맑은 고딕"/>
      <family val="3"/>
      <charset val="129"/>
      <scheme val="minor"/>
    </font>
    <font>
      <b/>
      <sz val="8"/>
      <name val="맑은 고딕"/>
      <family val="3"/>
      <charset val="129"/>
    </font>
    <font>
      <shadow/>
      <u/>
      <sz val="20"/>
      <color rgb="FF000000"/>
      <name val="HY헤드라인M"/>
      <family val="1"/>
      <charset val="129"/>
    </font>
    <font>
      <shadow/>
      <sz val="17"/>
      <color rgb="FF000000"/>
      <name val="HY헤드라인M"/>
      <family val="1"/>
      <charset val="129"/>
    </font>
    <font>
      <b/>
      <sz val="12"/>
      <color theme="1"/>
      <name val="맑은 고딕"/>
      <family val="3"/>
      <charset val="129"/>
      <scheme val="minor"/>
    </font>
    <font>
      <sz val="11"/>
      <color rgb="FF000000"/>
      <name val="한양중고딕"/>
      <family val="3"/>
      <charset val="129"/>
    </font>
    <font>
      <b/>
      <sz val="10"/>
      <color theme="1"/>
      <name val="맑은 고딕"/>
      <family val="3"/>
      <charset val="129"/>
      <scheme val="minor"/>
    </font>
    <font>
      <sz val="13"/>
      <color rgb="FF000000"/>
      <name val="HCI Poppy"/>
      <family val="2"/>
    </font>
    <font>
      <sz val="20"/>
      <color rgb="FF000000"/>
      <name val="HY헤드라인M"/>
      <family val="1"/>
      <charset val="129"/>
    </font>
    <font>
      <b/>
      <u/>
      <sz val="20"/>
      <color theme="1"/>
      <name val="맑은 고딕"/>
      <family val="3"/>
      <charset val="129"/>
      <scheme val="minor"/>
    </font>
    <font>
      <b/>
      <sz val="20"/>
      <color theme="1"/>
      <name val="맑은 고딕"/>
      <family val="3"/>
      <charset val="129"/>
      <scheme val="minor"/>
    </font>
    <font>
      <vertAlign val="superscript"/>
      <sz val="10"/>
      <color rgb="FF000000"/>
      <name val="맑은 고딕"/>
      <family val="3"/>
      <charset val="129"/>
      <scheme val="minor"/>
    </font>
    <font>
      <sz val="10"/>
      <color rgb="FFFF0000"/>
      <name val="맑은 고딕"/>
      <family val="3"/>
      <charset val="129"/>
      <scheme val="minor"/>
    </font>
    <font>
      <b/>
      <u/>
      <sz val="18"/>
      <color theme="1"/>
      <name val="맑은 고딕"/>
      <family val="3"/>
      <charset val="129"/>
      <scheme val="minor"/>
    </font>
    <font>
      <b/>
      <u/>
      <sz val="11"/>
      <color theme="1"/>
      <name val="맑은 고딕"/>
      <family val="3"/>
      <charset val="129"/>
      <scheme val="minor"/>
    </font>
    <font>
      <sz val="11"/>
      <color rgb="FF000000"/>
      <name val="맑은 고딕"/>
      <family val="3"/>
      <charset val="129"/>
      <scheme val="minor"/>
    </font>
    <font>
      <b/>
      <sz val="11"/>
      <color theme="1"/>
      <name val="맑은 고딕"/>
      <family val="3"/>
      <charset val="129"/>
      <scheme val="minor"/>
    </font>
    <font>
      <b/>
      <sz val="11"/>
      <color rgb="FF000000"/>
      <name val="맑은 고딕"/>
      <family val="3"/>
      <charset val="129"/>
      <scheme val="minor"/>
    </font>
  </fonts>
  <fills count="2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solid">
        <fgColor indexed="49"/>
        <bgColor indexed="64"/>
      </patternFill>
    </fill>
    <fill>
      <patternFill patternType="solid">
        <fgColor indexed="55"/>
        <bgColor indexed="64"/>
      </patternFill>
    </fill>
    <fill>
      <patternFill patternType="solid">
        <fgColor indexed="23"/>
        <bgColor indexed="64"/>
      </patternFill>
    </fill>
    <fill>
      <patternFill patternType="solid">
        <fgColor theme="0"/>
        <bgColor indexed="64"/>
      </patternFill>
    </fill>
    <fill>
      <patternFill patternType="solid">
        <fgColor rgb="FF33CCCC"/>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000"/>
        <bgColor indexed="64"/>
      </patternFill>
    </fill>
    <fill>
      <patternFill patternType="solid">
        <fgColor rgb="FF66CCFF"/>
        <bgColor indexed="64"/>
      </patternFill>
    </fill>
    <fill>
      <patternFill patternType="solid">
        <fgColor rgb="FF33CCFF"/>
        <bgColor indexed="64"/>
      </patternFill>
    </fill>
    <fill>
      <patternFill patternType="solid">
        <fgColor rgb="FFBBBBBB"/>
        <bgColor indexed="64"/>
      </patternFill>
    </fill>
    <fill>
      <patternFill patternType="solid">
        <fgColor rgb="FFCCCCCC"/>
        <bgColor indexed="64"/>
      </patternFill>
    </fill>
    <fill>
      <patternFill patternType="solid">
        <fgColor rgb="FF92D050"/>
        <bgColor indexed="64"/>
      </patternFill>
    </fill>
    <fill>
      <patternFill patternType="solid">
        <fgColor theme="3" tint="0.59999389629810485"/>
        <bgColor indexed="64"/>
      </patternFill>
    </fill>
  </fills>
  <borders count="152">
    <border>
      <left/>
      <right/>
      <top/>
      <bottom/>
      <diagonal/>
    </border>
    <border>
      <left style="medium">
        <color indexed="64"/>
      </left>
      <right style="thin">
        <color indexed="55"/>
      </right>
      <top style="thin">
        <color indexed="55"/>
      </top>
      <bottom style="medium">
        <color indexed="64"/>
      </bottom>
      <diagonal/>
    </border>
    <border>
      <left style="thin">
        <color indexed="55"/>
      </left>
      <right style="thin">
        <color indexed="55"/>
      </right>
      <top style="thin">
        <color indexed="55"/>
      </top>
      <bottom style="medium">
        <color indexed="64"/>
      </bottom>
      <diagonal/>
    </border>
    <border>
      <left style="thin">
        <color indexed="55"/>
      </left>
      <right style="medium">
        <color indexed="64"/>
      </right>
      <top style="thin">
        <color indexed="55"/>
      </top>
      <bottom style="medium">
        <color indexed="64"/>
      </bottom>
      <diagonal/>
    </border>
    <border>
      <left/>
      <right style="thin">
        <color indexed="55"/>
      </right>
      <top style="thin">
        <color indexed="55"/>
      </top>
      <bottom style="medium">
        <color indexed="64"/>
      </bottom>
      <diagonal/>
    </border>
    <border>
      <left style="thin">
        <color indexed="55"/>
      </left>
      <right/>
      <top style="thin">
        <color indexed="55"/>
      </top>
      <bottom style="medium">
        <color indexed="64"/>
      </bottom>
      <diagonal/>
    </border>
    <border>
      <left style="thin">
        <color indexed="64"/>
      </left>
      <right style="thin">
        <color indexed="55"/>
      </right>
      <top style="thin">
        <color indexed="55"/>
      </top>
      <bottom style="medium">
        <color indexed="64"/>
      </bottom>
      <diagonal/>
    </border>
    <border>
      <left style="thin">
        <color indexed="55"/>
      </left>
      <right style="thin">
        <color indexed="64"/>
      </right>
      <top style="thin">
        <color indexed="55"/>
      </top>
      <bottom style="medium">
        <color indexed="64"/>
      </bottom>
      <diagonal/>
    </border>
    <border>
      <left style="medium">
        <color indexed="64"/>
      </left>
      <right style="thin">
        <color indexed="55"/>
      </right>
      <top/>
      <bottom/>
      <diagonal/>
    </border>
    <border>
      <left style="thin">
        <color indexed="55"/>
      </left>
      <right style="thin">
        <color indexed="55"/>
      </right>
      <top style="medium">
        <color indexed="64"/>
      </top>
      <bottom style="thin">
        <color indexed="55"/>
      </bottom>
      <diagonal/>
    </border>
    <border>
      <left style="thin">
        <color indexed="55"/>
      </left>
      <right style="medium">
        <color indexed="64"/>
      </right>
      <top style="medium">
        <color indexed="64"/>
      </top>
      <bottom style="thin">
        <color indexed="55"/>
      </bottom>
      <diagonal/>
    </border>
    <border>
      <left style="thin">
        <color indexed="55"/>
      </left>
      <right style="thin">
        <color indexed="55"/>
      </right>
      <top/>
      <bottom style="thin">
        <color indexed="55"/>
      </bottom>
      <diagonal/>
    </border>
    <border>
      <left style="thin">
        <color indexed="55"/>
      </left>
      <right style="medium">
        <color indexed="64"/>
      </right>
      <top/>
      <bottom style="thin">
        <color indexed="55"/>
      </bottom>
      <diagonal/>
    </border>
    <border>
      <left/>
      <right style="thin">
        <color indexed="55"/>
      </right>
      <top/>
      <bottom style="thin">
        <color indexed="55"/>
      </bottom>
      <diagonal/>
    </border>
    <border>
      <left style="thin">
        <color indexed="55"/>
      </left>
      <right/>
      <top/>
      <bottom style="thin">
        <color indexed="55"/>
      </bottom>
      <diagonal/>
    </border>
    <border>
      <left style="thin">
        <color indexed="64"/>
      </left>
      <right style="thin">
        <color indexed="55"/>
      </right>
      <top/>
      <bottom style="thin">
        <color indexed="55"/>
      </bottom>
      <diagonal/>
    </border>
    <border>
      <left style="thin">
        <color indexed="55"/>
      </left>
      <right style="thin">
        <color indexed="64"/>
      </right>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medium">
        <color indexed="64"/>
      </right>
      <top style="thin">
        <color indexed="55"/>
      </top>
      <bottom style="thin">
        <color indexed="55"/>
      </bottom>
      <diagonal/>
    </border>
    <border>
      <left style="medium">
        <color indexed="64"/>
      </left>
      <right style="thin">
        <color indexed="55"/>
      </right>
      <top/>
      <bottom style="thin">
        <color indexed="55"/>
      </bottom>
      <diagonal/>
    </border>
    <border>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55"/>
      </right>
      <top style="medium">
        <color indexed="64"/>
      </top>
      <bottom/>
      <diagonal/>
    </border>
    <border>
      <left style="thin">
        <color indexed="55"/>
      </left>
      <right style="thin">
        <color indexed="55"/>
      </right>
      <top style="medium">
        <color indexed="64"/>
      </top>
      <bottom/>
      <diagonal/>
    </border>
    <border>
      <left style="thin">
        <color indexed="55"/>
      </left>
      <right style="medium">
        <color indexed="64"/>
      </right>
      <top style="medium">
        <color indexed="64"/>
      </top>
      <bottom/>
      <diagonal/>
    </border>
    <border>
      <left style="medium">
        <color indexed="64"/>
      </left>
      <right style="thin">
        <color indexed="55"/>
      </right>
      <top style="medium">
        <color indexed="64"/>
      </top>
      <bottom style="thin">
        <color indexed="55"/>
      </bottom>
      <diagonal/>
    </border>
    <border>
      <left style="thin">
        <color indexed="55"/>
      </left>
      <right/>
      <top style="medium">
        <color indexed="64"/>
      </top>
      <bottom style="thin">
        <color indexed="55"/>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55"/>
      </right>
      <top/>
      <bottom style="medium">
        <color indexed="64"/>
      </bottom>
      <diagonal/>
    </border>
    <border>
      <left style="thin">
        <color indexed="55"/>
      </left>
      <right style="thin">
        <color indexed="55"/>
      </right>
      <top/>
      <bottom style="medium">
        <color indexed="64"/>
      </bottom>
      <diagonal/>
    </border>
    <border>
      <left style="thin">
        <color indexed="55"/>
      </left>
      <right style="medium">
        <color indexed="64"/>
      </right>
      <top/>
      <bottom style="medium">
        <color indexed="64"/>
      </bottom>
      <diagonal/>
    </border>
    <border>
      <left style="thin">
        <color indexed="64"/>
      </left>
      <right style="thin">
        <color indexed="64"/>
      </right>
      <top style="thin">
        <color indexed="55"/>
      </top>
      <bottom style="medium">
        <color indexed="64"/>
      </bottom>
      <diagonal/>
    </border>
    <border>
      <left/>
      <right/>
      <top style="thin">
        <color indexed="55"/>
      </top>
      <bottom style="medium">
        <color indexed="64"/>
      </bottom>
      <diagonal/>
    </border>
    <border>
      <left/>
      <right style="medium">
        <color indexed="64"/>
      </right>
      <top style="thin">
        <color indexed="55"/>
      </top>
      <bottom style="medium">
        <color indexed="64"/>
      </bottom>
      <diagonal/>
    </border>
    <border>
      <left/>
      <right style="thin">
        <color indexed="55"/>
      </right>
      <top/>
      <bottom style="medium">
        <color indexed="64"/>
      </bottom>
      <diagonal/>
    </border>
    <border>
      <left style="thin">
        <color indexed="55"/>
      </left>
      <right/>
      <top/>
      <bottom style="medium">
        <color indexed="64"/>
      </bottom>
      <diagonal/>
    </border>
    <border>
      <left/>
      <right/>
      <top style="medium">
        <color indexed="64"/>
      </top>
      <bottom style="thin">
        <color indexed="55"/>
      </bottom>
      <diagonal/>
    </border>
    <border>
      <left/>
      <right style="medium">
        <color indexed="64"/>
      </right>
      <top style="medium">
        <color indexed="64"/>
      </top>
      <bottom style="thin">
        <color indexed="55"/>
      </bottom>
      <diagonal/>
    </border>
    <border>
      <left style="medium">
        <color indexed="64"/>
      </left>
      <right/>
      <top/>
      <bottom style="thin">
        <color indexed="55"/>
      </bottom>
      <diagonal/>
    </border>
    <border>
      <left/>
      <right/>
      <top/>
      <bottom style="thin">
        <color indexed="55"/>
      </bottom>
      <diagonal/>
    </border>
    <border>
      <left/>
      <right style="medium">
        <color indexed="64"/>
      </right>
      <top/>
      <bottom style="thin">
        <color indexed="55"/>
      </bottom>
      <diagonal/>
    </border>
    <border>
      <left/>
      <right style="medium">
        <color indexed="64"/>
      </right>
      <top style="thin">
        <color indexed="55"/>
      </top>
      <bottom style="thin">
        <color indexed="55"/>
      </bottom>
      <diagonal/>
    </border>
    <border>
      <left/>
      <right/>
      <top style="thin">
        <color indexed="55"/>
      </top>
      <bottom style="thin">
        <color indexed="55"/>
      </bottom>
      <diagonal/>
    </border>
    <border>
      <left style="medium">
        <color indexed="64"/>
      </left>
      <right style="thin">
        <color indexed="55"/>
      </right>
      <top style="thin">
        <color indexed="55"/>
      </top>
      <bottom style="thin">
        <color indexed="55"/>
      </bottom>
      <diagonal/>
    </border>
    <border>
      <left/>
      <right style="thin">
        <color indexed="64"/>
      </right>
      <top style="thin">
        <color indexed="55"/>
      </top>
      <bottom style="thin">
        <color indexed="55"/>
      </bottom>
      <diagonal/>
    </border>
    <border>
      <left/>
      <right style="thin">
        <color indexed="64"/>
      </right>
      <top style="thin">
        <color indexed="55"/>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55"/>
      </right>
      <top style="medium">
        <color indexed="64"/>
      </top>
      <bottom style="medium">
        <color indexed="64"/>
      </bottom>
      <diagonal/>
    </border>
    <border>
      <left style="medium">
        <color indexed="64"/>
      </left>
      <right/>
      <top style="thin">
        <color indexed="55"/>
      </top>
      <bottom style="medium">
        <color indexed="64"/>
      </bottom>
      <diagonal/>
    </border>
    <border>
      <left style="thin">
        <color indexed="55"/>
      </left>
      <right style="thin">
        <color indexed="55"/>
      </right>
      <top style="thin">
        <color indexed="55"/>
      </top>
      <bottom/>
      <diagonal/>
    </border>
    <border>
      <left style="thin">
        <color indexed="55"/>
      </left>
      <right/>
      <top style="thin">
        <color indexed="55"/>
      </top>
      <bottom/>
      <diagonal/>
    </border>
    <border>
      <left/>
      <right/>
      <top style="thin">
        <color indexed="55"/>
      </top>
      <bottom/>
      <diagonal/>
    </border>
    <border>
      <left/>
      <right style="medium">
        <color indexed="64"/>
      </right>
      <top style="thin">
        <color indexed="55"/>
      </top>
      <bottom/>
      <diagonal/>
    </border>
    <border>
      <left style="medium">
        <color indexed="64"/>
      </left>
      <right style="thin">
        <color indexed="55"/>
      </right>
      <top style="thin">
        <color indexed="55"/>
      </top>
      <bottom/>
      <diagonal/>
    </border>
    <border>
      <left style="thin">
        <color indexed="64"/>
      </left>
      <right style="thin">
        <color indexed="55"/>
      </right>
      <top style="thin">
        <color indexed="55"/>
      </top>
      <bottom/>
      <diagonal/>
    </border>
    <border>
      <left style="thin">
        <color indexed="55"/>
      </left>
      <right style="thin">
        <color indexed="64"/>
      </right>
      <top style="thin">
        <color indexed="55"/>
      </top>
      <bottom/>
      <diagonal/>
    </border>
    <border>
      <left/>
      <right style="thin">
        <color indexed="55"/>
      </right>
      <top style="thin">
        <color indexed="55"/>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55"/>
      </left>
      <right/>
      <top style="medium">
        <color indexed="64"/>
      </top>
      <bottom/>
      <diagonal/>
    </border>
    <border>
      <left style="thin">
        <color indexed="64"/>
      </left>
      <right style="thin">
        <color indexed="55"/>
      </right>
      <top style="medium">
        <color indexed="64"/>
      </top>
      <bottom/>
      <diagonal/>
    </border>
    <border>
      <left style="thin">
        <color indexed="55"/>
      </left>
      <right style="thin">
        <color indexed="64"/>
      </right>
      <top style="medium">
        <color indexed="64"/>
      </top>
      <bottom/>
      <diagonal/>
    </border>
    <border>
      <left/>
      <right style="thin">
        <color indexed="55"/>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55"/>
      </top>
      <bottom style="thin">
        <color indexed="55"/>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55"/>
      </right>
      <top/>
      <bottom style="medium">
        <color indexed="64"/>
      </bottom>
      <diagonal/>
    </border>
    <border>
      <left style="thin">
        <color indexed="55"/>
      </left>
      <right style="thin">
        <color indexed="64"/>
      </right>
      <top/>
      <bottom style="medium">
        <color indexed="64"/>
      </bottom>
      <diagonal/>
    </border>
    <border>
      <left style="medium">
        <color indexed="64"/>
      </left>
      <right/>
      <top style="medium">
        <color indexed="64"/>
      </top>
      <bottom style="thin">
        <color indexed="55"/>
      </bottom>
      <diagonal/>
    </border>
    <border>
      <left style="medium">
        <color indexed="64"/>
      </left>
      <right style="thin">
        <color indexed="55"/>
      </right>
      <top style="medium">
        <color indexed="64"/>
      </top>
      <bottom style="medium">
        <color indexed="64"/>
      </bottom>
      <diagonal/>
    </border>
    <border>
      <left style="thin">
        <color indexed="55"/>
      </left>
      <right style="medium">
        <color indexed="64"/>
      </right>
      <top style="medium">
        <color indexed="64"/>
      </top>
      <bottom style="medium">
        <color indexed="64"/>
      </bottom>
      <diagonal/>
    </border>
    <border>
      <left style="thin">
        <color indexed="64"/>
      </left>
      <right/>
      <top style="thin">
        <color indexed="55"/>
      </top>
      <bottom style="thin">
        <color indexed="55"/>
      </bottom>
      <diagonal/>
    </border>
    <border>
      <left style="thin">
        <color indexed="64"/>
      </left>
      <right style="thin">
        <color indexed="64"/>
      </right>
      <top style="thin">
        <color indexed="55"/>
      </top>
      <bottom style="thin">
        <color indexed="55"/>
      </bottom>
      <diagonal/>
    </border>
    <border>
      <left style="thin">
        <color indexed="64"/>
      </left>
      <right style="medium">
        <color indexed="64"/>
      </right>
      <top style="thin">
        <color indexed="55"/>
      </top>
      <bottom style="thin">
        <color indexed="55"/>
      </bottom>
      <diagonal/>
    </border>
    <border>
      <left style="thin">
        <color indexed="64"/>
      </left>
      <right style="medium">
        <color indexed="64"/>
      </right>
      <top style="thin">
        <color indexed="55"/>
      </top>
      <bottom style="medium">
        <color indexed="64"/>
      </bottom>
      <diagonal/>
    </border>
    <border>
      <left style="thin">
        <color indexed="64"/>
      </left>
      <right style="thin">
        <color indexed="64"/>
      </right>
      <top/>
      <bottom style="thin">
        <color indexed="55"/>
      </bottom>
      <diagonal/>
    </border>
    <border>
      <left style="thin">
        <color indexed="64"/>
      </left>
      <right style="medium">
        <color indexed="64"/>
      </right>
      <top/>
      <bottom style="thin">
        <color indexed="55"/>
      </bottom>
      <diagonal/>
    </border>
    <border>
      <left style="thin">
        <color indexed="64"/>
      </left>
      <right style="thin">
        <color theme="1"/>
      </right>
      <top style="thin">
        <color indexed="55"/>
      </top>
      <bottom style="medium">
        <color indexed="64"/>
      </bottom>
      <diagonal/>
    </border>
    <border>
      <left style="thin">
        <color theme="1"/>
      </left>
      <right style="thin">
        <color theme="1"/>
      </right>
      <top style="thin">
        <color indexed="55"/>
      </top>
      <bottom style="medium">
        <color indexed="64"/>
      </bottom>
      <diagonal/>
    </border>
    <border>
      <left style="thin">
        <color indexed="64"/>
      </left>
      <right style="thin">
        <color theme="1"/>
      </right>
      <top/>
      <bottom style="thin">
        <color indexed="55"/>
      </bottom>
      <diagonal/>
    </border>
    <border>
      <left style="thin">
        <color theme="1"/>
      </left>
      <right style="thin">
        <color theme="1"/>
      </right>
      <top/>
      <bottom style="thin">
        <color indexed="55"/>
      </bottom>
      <diagonal/>
    </border>
    <border>
      <left style="thin">
        <color theme="1"/>
      </left>
      <right style="medium">
        <color indexed="64"/>
      </right>
      <top/>
      <bottom style="thin">
        <color indexed="55"/>
      </bottom>
      <diagonal/>
    </border>
    <border>
      <left style="thin">
        <color indexed="64"/>
      </left>
      <right style="thin">
        <color theme="1"/>
      </right>
      <top style="thin">
        <color indexed="55"/>
      </top>
      <bottom style="thin">
        <color indexed="55"/>
      </bottom>
      <diagonal/>
    </border>
    <border>
      <left style="thin">
        <color theme="1"/>
      </left>
      <right style="thin">
        <color theme="1"/>
      </right>
      <top style="thin">
        <color indexed="55"/>
      </top>
      <bottom style="thin">
        <color indexed="55"/>
      </bottom>
      <diagonal/>
    </border>
    <border>
      <left style="thin">
        <color theme="1"/>
      </left>
      <right style="medium">
        <color indexed="64"/>
      </right>
      <top style="thin">
        <color indexed="55"/>
      </top>
      <bottom style="thin">
        <color indexed="55"/>
      </bottom>
      <diagonal/>
    </border>
    <border>
      <left style="thin">
        <color indexed="55"/>
      </left>
      <right style="thin">
        <color indexed="55"/>
      </right>
      <top style="medium">
        <color indexed="64"/>
      </top>
      <bottom style="medium">
        <color indexed="64"/>
      </bottom>
      <diagonal/>
    </border>
    <border>
      <left style="thin">
        <color indexed="55"/>
      </left>
      <right style="thin">
        <color theme="1"/>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thin">
        <color theme="1"/>
      </left>
      <right style="medium">
        <color indexed="64"/>
      </right>
      <top style="medium">
        <color indexed="64"/>
      </top>
      <bottom style="medium">
        <color indexed="64"/>
      </bottom>
      <diagonal/>
    </border>
    <border>
      <left style="thin">
        <color indexed="55"/>
      </left>
      <right style="thin">
        <color indexed="8"/>
      </right>
      <top style="thin">
        <color indexed="55"/>
      </top>
      <bottom style="medium">
        <color indexed="64"/>
      </bottom>
      <diagonal/>
    </border>
    <border>
      <left style="thin">
        <color indexed="8"/>
      </left>
      <right style="thin">
        <color indexed="64"/>
      </right>
      <top style="thin">
        <color indexed="55"/>
      </top>
      <bottom style="medium">
        <color indexed="64"/>
      </bottom>
      <diagonal/>
    </border>
    <border>
      <left style="thin">
        <color indexed="55"/>
      </left>
      <right style="thin">
        <color indexed="8"/>
      </right>
      <top/>
      <bottom style="thin">
        <color indexed="55"/>
      </bottom>
      <diagonal/>
    </border>
    <border>
      <left style="thin">
        <color indexed="8"/>
      </left>
      <right style="thin">
        <color indexed="64"/>
      </right>
      <top/>
      <bottom style="thin">
        <color indexed="55"/>
      </bottom>
      <diagonal/>
    </border>
    <border>
      <left style="thin">
        <color indexed="55"/>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55"/>
      </top>
      <bottom/>
      <diagonal/>
    </border>
    <border>
      <left style="thin">
        <color indexed="64"/>
      </left>
      <right style="medium">
        <color indexed="64"/>
      </right>
      <top style="thin">
        <color indexed="55"/>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hair">
        <color indexed="64"/>
      </bottom>
      <diagonal/>
    </border>
    <border>
      <left/>
      <right/>
      <top style="double">
        <color indexed="64"/>
      </top>
      <bottom/>
      <diagonal/>
    </border>
    <border>
      <left/>
      <right/>
      <top/>
      <bottom style="thin">
        <color indexed="64"/>
      </bottom>
      <diagonal/>
    </border>
    <border>
      <left style="medium">
        <color indexed="64"/>
      </left>
      <right/>
      <top/>
      <bottom/>
      <diagonal/>
    </border>
    <border>
      <left style="thick">
        <color rgb="FFFF0000"/>
      </left>
      <right/>
      <top style="thick">
        <color rgb="FFFF0000"/>
      </top>
      <bottom style="thick">
        <color rgb="FFFF0000"/>
      </bottom>
      <diagonal/>
    </border>
    <border>
      <left style="medium">
        <color indexed="64"/>
      </left>
      <right/>
      <top style="thick">
        <color rgb="FFFF0000"/>
      </top>
      <bottom style="thick">
        <color rgb="FFFF0000"/>
      </bottom>
      <diagonal/>
    </border>
    <border>
      <left/>
      <right style="thick">
        <color rgb="FFFF0000"/>
      </right>
      <top style="thick">
        <color rgb="FFFF0000"/>
      </top>
      <bottom style="thick">
        <color rgb="FFFF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thin">
        <color rgb="FF000000"/>
      </right>
      <top style="thin">
        <color rgb="FF000000"/>
      </top>
      <bottom style="thin">
        <color rgb="FF000000"/>
      </bottom>
      <diagonal/>
    </border>
    <border>
      <left style="medium">
        <color indexed="64"/>
      </left>
      <right style="thin">
        <color theme="0" tint="-0.499984740745262"/>
      </right>
      <top style="medium">
        <color indexed="64"/>
      </top>
      <bottom style="thin">
        <color indexed="55"/>
      </bottom>
      <diagonal/>
    </border>
    <border>
      <left style="thin">
        <color theme="0" tint="-0.499984740745262"/>
      </left>
      <right style="thin">
        <color indexed="55"/>
      </right>
      <top style="medium">
        <color indexed="64"/>
      </top>
      <bottom style="thin">
        <color indexed="55"/>
      </bottom>
      <diagonal/>
    </border>
    <border>
      <left style="medium">
        <color indexed="64"/>
      </left>
      <right style="thin">
        <color theme="0" tint="-0.499984740745262"/>
      </right>
      <top style="thin">
        <color indexed="55"/>
      </top>
      <bottom style="thin">
        <color indexed="55"/>
      </bottom>
      <diagonal/>
    </border>
    <border>
      <left style="thin">
        <color theme="0" tint="-0.499984740745262"/>
      </left>
      <right style="thin">
        <color indexed="55"/>
      </right>
      <top style="thin">
        <color indexed="55"/>
      </top>
      <bottom style="thin">
        <color indexed="55"/>
      </bottom>
      <diagonal/>
    </border>
    <border>
      <left style="medium">
        <color indexed="64"/>
      </left>
      <right style="thin">
        <color theme="0" tint="-0.499984740745262"/>
      </right>
      <top style="thin">
        <color indexed="55"/>
      </top>
      <bottom style="medium">
        <color indexed="64"/>
      </bottom>
      <diagonal/>
    </border>
    <border>
      <left style="thin">
        <color theme="0" tint="-0.499984740745262"/>
      </left>
      <right style="thin">
        <color indexed="55"/>
      </right>
      <top style="thin">
        <color indexed="55"/>
      </top>
      <bottom style="medium">
        <color indexed="64"/>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47">
    <xf numFmtId="0" fontId="0"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xf numFmtId="0" fontId="13" fillId="0" borderId="0"/>
    <xf numFmtId="0" fontId="14" fillId="0" borderId="0"/>
    <xf numFmtId="0" fontId="14" fillId="0" borderId="0"/>
    <xf numFmtId="0" fontId="14" fillId="0" borderId="0"/>
    <xf numFmtId="0" fontId="2" fillId="0" borderId="0" applyFill="0" applyBorder="0" applyAlignment="0"/>
    <xf numFmtId="0" fontId="15" fillId="0" borderId="0"/>
    <xf numFmtId="184" fontId="16" fillId="0" borderId="0" applyFont="0" applyFill="0" applyBorder="0" applyAlignment="0" applyProtection="0"/>
    <xf numFmtId="185" fontId="16" fillId="0" borderId="0" applyFont="0" applyFill="0" applyBorder="0" applyAlignment="0" applyProtection="0"/>
    <xf numFmtId="186" fontId="16" fillId="0" borderId="0" applyFont="0" applyFill="0" applyBorder="0" applyAlignment="0" applyProtection="0"/>
    <xf numFmtId="187" fontId="16" fillId="0" borderId="0" applyFont="0" applyFill="0" applyBorder="0" applyAlignment="0" applyProtection="0"/>
    <xf numFmtId="38" fontId="17" fillId="2" borderId="0" applyNumberFormat="0" applyBorder="0" applyAlignment="0" applyProtection="0"/>
    <xf numFmtId="0" fontId="18" fillId="0" borderId="0">
      <alignment horizontal="left"/>
    </xf>
    <xf numFmtId="0" fontId="19" fillId="0" borderId="54" applyNumberFormat="0" applyAlignment="0" applyProtection="0">
      <alignment horizontal="left" vertical="center"/>
    </xf>
    <xf numFmtId="0" fontId="19" fillId="0" borderId="73">
      <alignment horizontal="left" vertical="center"/>
    </xf>
    <xf numFmtId="10" fontId="17" fillId="2" borderId="113" applyNumberFormat="0" applyBorder="0" applyAlignment="0" applyProtection="0"/>
    <xf numFmtId="0" fontId="20" fillId="0" borderId="33"/>
    <xf numFmtId="188" fontId="2" fillId="0" borderId="0"/>
    <xf numFmtId="0" fontId="16" fillId="0" borderId="0"/>
    <xf numFmtId="10" fontId="16" fillId="0" borderId="0" applyFont="0" applyFill="0" applyBorder="0" applyAlignment="0" applyProtection="0"/>
    <xf numFmtId="0" fontId="20" fillId="0" borderId="0"/>
    <xf numFmtId="189" fontId="13" fillId="0" borderId="0">
      <protection locked="0"/>
    </xf>
    <xf numFmtId="0" fontId="21" fillId="0" borderId="0">
      <protection locked="0"/>
    </xf>
    <xf numFmtId="0" fontId="21" fillId="0" borderId="0">
      <protection locked="0"/>
    </xf>
    <xf numFmtId="0" fontId="22" fillId="0" borderId="0">
      <protection locked="0"/>
    </xf>
    <xf numFmtId="0" fontId="22" fillId="0" borderId="0">
      <protection locked="0"/>
    </xf>
    <xf numFmtId="0" fontId="23" fillId="0" borderId="0" applyNumberFormat="0" applyFill="0" applyBorder="0" applyAlignment="0" applyProtection="0">
      <alignment vertical="top"/>
      <protection locked="0"/>
    </xf>
    <xf numFmtId="0" fontId="24" fillId="0" borderId="0"/>
    <xf numFmtId="190" fontId="25" fillId="0" borderId="0">
      <alignment vertical="center"/>
    </xf>
    <xf numFmtId="0" fontId="14" fillId="0" borderId="0"/>
    <xf numFmtId="0" fontId="26" fillId="0" borderId="116"/>
    <xf numFmtId="4" fontId="22" fillId="0" borderId="0">
      <protection locked="0"/>
    </xf>
    <xf numFmtId="191" fontId="13" fillId="0" borderId="0">
      <protection locked="0"/>
    </xf>
    <xf numFmtId="190" fontId="13" fillId="0" borderId="0" applyFont="0" applyFill="0" applyBorder="0" applyAlignment="0" applyProtection="0"/>
    <xf numFmtId="192" fontId="13" fillId="0" borderId="0" applyFont="0" applyFill="0" applyBorder="0" applyAlignment="0" applyProtection="0"/>
    <xf numFmtId="193" fontId="13" fillId="0" borderId="0">
      <protection locked="0"/>
    </xf>
    <xf numFmtId="0" fontId="22" fillId="0" borderId="117">
      <protection locked="0"/>
    </xf>
    <xf numFmtId="194" fontId="13" fillId="0" borderId="0">
      <protection locked="0"/>
    </xf>
    <xf numFmtId="195" fontId="13" fillId="0" borderId="0">
      <protection locked="0"/>
    </xf>
    <xf numFmtId="42" fontId="2" fillId="0" borderId="0" applyFont="0" applyFill="0" applyBorder="0" applyAlignment="0" applyProtection="0">
      <alignment vertical="center"/>
    </xf>
    <xf numFmtId="0" fontId="14" fillId="0" borderId="0"/>
    <xf numFmtId="0" fontId="31" fillId="0" borderId="0">
      <alignment vertical="center"/>
    </xf>
    <xf numFmtId="41" fontId="31" fillId="0" borderId="0" applyFont="0" applyFill="0" applyBorder="0" applyAlignment="0" applyProtection="0">
      <alignment vertical="center"/>
    </xf>
    <xf numFmtId="0" fontId="1" fillId="0" borderId="0">
      <alignment vertical="center"/>
    </xf>
  </cellStyleXfs>
  <cellXfs count="451">
    <xf numFmtId="0" fontId="0" fillId="0" borderId="0" xfId="0">
      <alignment vertical="center"/>
    </xf>
    <xf numFmtId="0" fontId="0" fillId="11" borderId="0" xfId="0" applyFill="1">
      <alignment vertical="center"/>
    </xf>
    <xf numFmtId="0" fontId="8" fillId="11" borderId="0" xfId="0" applyFont="1" applyFill="1">
      <alignment vertical="center"/>
    </xf>
    <xf numFmtId="0" fontId="9" fillId="11" borderId="0" xfId="0" applyFont="1" applyFill="1">
      <alignment vertical="center"/>
    </xf>
    <xf numFmtId="0" fontId="4" fillId="11" borderId="0" xfId="0" applyFont="1" applyFill="1">
      <alignment vertical="center"/>
    </xf>
    <xf numFmtId="0" fontId="4" fillId="3" borderId="80" xfId="0" applyFont="1" applyFill="1" applyBorder="1" applyAlignment="1">
      <alignment horizontal="center" vertical="center"/>
    </xf>
    <xf numFmtId="0" fontId="4" fillId="3" borderId="54" xfId="0" applyFont="1" applyFill="1" applyBorder="1" applyAlignment="1">
      <alignment horizontal="center" vertical="center"/>
    </xf>
    <xf numFmtId="0" fontId="4" fillId="3" borderId="81" xfId="0" applyFont="1" applyFill="1" applyBorder="1" applyAlignment="1">
      <alignment horizontal="center" vertical="center"/>
    </xf>
    <xf numFmtId="0" fontId="4" fillId="3" borderId="46" xfId="0" applyFont="1" applyFill="1" applyBorder="1" applyAlignment="1">
      <alignment horizontal="center" vertical="center"/>
    </xf>
    <xf numFmtId="41" fontId="4" fillId="2" borderId="12" xfId="2" applyFont="1" applyFill="1" applyBorder="1" applyAlignment="1">
      <alignment horizontal="center" vertical="center"/>
    </xf>
    <xf numFmtId="0" fontId="4" fillId="3" borderId="50" xfId="0" applyFont="1" applyFill="1" applyBorder="1" applyAlignment="1">
      <alignment horizontal="center" vertical="center"/>
    </xf>
    <xf numFmtId="0" fontId="4" fillId="3" borderId="49" xfId="0" applyFont="1" applyFill="1" applyBorder="1" applyAlignment="1">
      <alignment horizontal="center" vertical="center"/>
    </xf>
    <xf numFmtId="41" fontId="4" fillId="2" borderId="18" xfId="2" applyFont="1" applyFill="1" applyBorder="1" applyAlignment="1">
      <alignment horizontal="center" vertical="center"/>
    </xf>
    <xf numFmtId="0" fontId="4" fillId="3" borderId="1" xfId="0" applyFont="1" applyFill="1" applyBorder="1" applyAlignment="1">
      <alignment horizontal="center" vertical="center"/>
    </xf>
    <xf numFmtId="0" fontId="4" fillId="3" borderId="39" xfId="0" applyFont="1" applyFill="1" applyBorder="1" applyAlignment="1">
      <alignment horizontal="center" vertical="center"/>
    </xf>
    <xf numFmtId="41" fontId="4" fillId="2" borderId="3" xfId="2" applyFont="1" applyFill="1" applyBorder="1" applyAlignment="1">
      <alignment horizontal="center" vertical="center"/>
    </xf>
    <xf numFmtId="0" fontId="4" fillId="2" borderId="0" xfId="0" applyFont="1" applyFill="1">
      <alignment vertical="center"/>
    </xf>
    <xf numFmtId="0" fontId="4" fillId="2" borderId="0" xfId="0" applyFont="1" applyFill="1" applyAlignment="1">
      <alignment horizontal="center" vertical="center"/>
    </xf>
    <xf numFmtId="41" fontId="4" fillId="2" borderId="0" xfId="0" applyNumberFormat="1" applyFont="1" applyFill="1">
      <alignment vertical="center"/>
    </xf>
    <xf numFmtId="0" fontId="5" fillId="2" borderId="0" xfId="0" applyFont="1" applyFill="1">
      <alignment vertical="center"/>
    </xf>
    <xf numFmtId="0" fontId="6" fillId="2" borderId="0" xfId="0" applyFont="1" applyFill="1" applyAlignment="1">
      <alignment horizontal="right" vertical="center"/>
    </xf>
    <xf numFmtId="177" fontId="10" fillId="2" borderId="0" xfId="0" applyNumberFormat="1" applyFont="1" applyFill="1" applyAlignment="1">
      <alignment horizontal="left" vertical="center"/>
    </xf>
    <xf numFmtId="177" fontId="4" fillId="2" borderId="0" xfId="0" applyNumberFormat="1" applyFont="1" applyFill="1" applyAlignment="1">
      <alignment horizontal="left" vertical="center"/>
    </xf>
    <xf numFmtId="181" fontId="4" fillId="2" borderId="0" xfId="0" applyNumberFormat="1" applyFont="1" applyFill="1" applyAlignment="1">
      <alignment horizontal="right" vertical="center"/>
    </xf>
    <xf numFmtId="177" fontId="7" fillId="2" borderId="0" xfId="0" applyNumberFormat="1" applyFont="1" applyFill="1" applyAlignment="1">
      <alignment horizontal="left" vertical="center"/>
    </xf>
    <xf numFmtId="177" fontId="6" fillId="2" borderId="0" xfId="0" applyNumberFormat="1" applyFont="1" applyFill="1" applyAlignment="1">
      <alignment horizontal="left"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8" xfId="0" applyFont="1" applyFill="1" applyBorder="1" applyAlignment="1">
      <alignment horizontal="center" vertical="center"/>
    </xf>
    <xf numFmtId="0" fontId="4" fillId="3" borderId="85" xfId="0" applyFont="1" applyFill="1" applyBorder="1" applyAlignment="1">
      <alignment horizontal="center" vertical="center"/>
    </xf>
    <xf numFmtId="0" fontId="4" fillId="2" borderId="8" xfId="0" applyFont="1" applyFill="1" applyBorder="1" applyAlignment="1">
      <alignment horizontal="center" vertical="center"/>
    </xf>
    <xf numFmtId="0" fontId="4" fillId="4" borderId="9" xfId="0" applyFont="1" applyFill="1" applyBorder="1" applyAlignment="1" applyProtection="1">
      <alignment horizontal="center" vertical="center"/>
      <protection locked="0"/>
    </xf>
    <xf numFmtId="41" fontId="4" fillId="2" borderId="10" xfId="2" applyFont="1" applyFill="1" applyBorder="1" applyAlignment="1">
      <alignment horizontal="center" vertical="center"/>
    </xf>
    <xf numFmtId="0" fontId="4" fillId="4" borderId="17" xfId="0" applyFont="1" applyFill="1" applyBorder="1" applyAlignment="1" applyProtection="1">
      <alignment horizontal="center" vertical="center"/>
      <protection locked="0"/>
    </xf>
    <xf numFmtId="0" fontId="4" fillId="3" borderId="24" xfId="0" applyFont="1" applyFill="1" applyBorder="1">
      <alignment vertical="center"/>
    </xf>
    <xf numFmtId="0" fontId="4" fillId="3" borderId="25" xfId="0" applyFont="1" applyFill="1" applyBorder="1">
      <alignment vertical="center"/>
    </xf>
    <xf numFmtId="0" fontId="4" fillId="3" borderId="26" xfId="0" applyFont="1" applyFill="1" applyBorder="1" applyAlignment="1">
      <alignment horizontal="center" vertical="center"/>
    </xf>
    <xf numFmtId="179" fontId="4" fillId="7" borderId="30" xfId="0" applyNumberFormat="1" applyFont="1" applyFill="1" applyBorder="1" applyAlignment="1">
      <alignment horizontal="right" vertical="center"/>
    </xf>
    <xf numFmtId="179" fontId="4" fillId="8" borderId="31" xfId="0" applyNumberFormat="1" applyFont="1" applyFill="1" applyBorder="1" applyAlignment="1">
      <alignment horizontal="right" vertical="center"/>
    </xf>
    <xf numFmtId="179" fontId="4" fillId="8" borderId="10" xfId="0" applyNumberFormat="1" applyFont="1" applyFill="1" applyBorder="1" applyAlignment="1">
      <alignment horizontal="right" vertical="center"/>
    </xf>
    <xf numFmtId="0" fontId="4" fillId="3" borderId="32" xfId="0" applyFont="1" applyFill="1" applyBorder="1">
      <alignment vertical="center"/>
    </xf>
    <xf numFmtId="0" fontId="4" fillId="3" borderId="33" xfId="0" applyFont="1" applyFill="1" applyBorder="1">
      <alignment vertical="center"/>
    </xf>
    <xf numFmtId="0" fontId="4" fillId="3" borderId="34" xfId="0" applyFont="1" applyFill="1" applyBorder="1" applyAlignment="1">
      <alignment horizontal="center" vertical="center"/>
    </xf>
    <xf numFmtId="41" fontId="4" fillId="7" borderId="1" xfId="2" applyFont="1" applyFill="1" applyBorder="1" applyAlignment="1">
      <alignment horizontal="right" vertical="center"/>
    </xf>
    <xf numFmtId="41" fontId="4" fillId="8" borderId="5" xfId="2" applyFont="1" applyFill="1" applyBorder="1" applyAlignment="1">
      <alignment horizontal="right" vertical="center"/>
    </xf>
    <xf numFmtId="41" fontId="4" fillId="8" borderId="3" xfId="2" applyFont="1" applyFill="1" applyBorder="1" applyAlignment="1">
      <alignment horizontal="right" vertical="center"/>
    </xf>
    <xf numFmtId="0" fontId="4" fillId="3" borderId="40" xfId="0" applyFont="1" applyFill="1" applyBorder="1" applyAlignment="1">
      <alignment horizontal="center" vertical="center"/>
    </xf>
    <xf numFmtId="0" fontId="4" fillId="3" borderId="32" xfId="0" applyFont="1" applyFill="1" applyBorder="1" applyAlignment="1">
      <alignment horizontal="center" vertical="center"/>
    </xf>
    <xf numFmtId="0" fontId="4" fillId="3" borderId="41" xfId="0" applyFont="1" applyFill="1" applyBorder="1" applyAlignment="1">
      <alignment horizontal="left" vertical="center"/>
    </xf>
    <xf numFmtId="0" fontId="4" fillId="3" borderId="42" xfId="0" applyFont="1" applyFill="1" applyBorder="1" applyAlignment="1">
      <alignment horizontal="center" vertical="center"/>
    </xf>
    <xf numFmtId="0" fontId="4" fillId="3" borderId="34" xfId="0" applyFont="1" applyFill="1" applyBorder="1" applyAlignment="1">
      <alignment horizontal="left" vertical="center"/>
    </xf>
    <xf numFmtId="0" fontId="4" fillId="4" borderId="43" xfId="0" applyFont="1" applyFill="1" applyBorder="1" applyAlignment="1" applyProtection="1">
      <alignment horizontal="center" vertical="center"/>
      <protection locked="0"/>
    </xf>
    <xf numFmtId="41" fontId="4" fillId="4" borderId="44" xfId="2" applyFont="1" applyFill="1" applyBorder="1" applyAlignment="1" applyProtection="1">
      <alignment horizontal="center" vertical="center"/>
      <protection locked="0"/>
    </xf>
    <xf numFmtId="41" fontId="4" fillId="5" borderId="19" xfId="2" applyFont="1" applyFill="1" applyBorder="1" applyAlignment="1" applyProtection="1">
      <alignment horizontal="center" vertical="center"/>
      <protection locked="0"/>
    </xf>
    <xf numFmtId="41" fontId="4" fillId="5" borderId="15" xfId="2" applyFont="1" applyFill="1" applyBorder="1" applyAlignment="1" applyProtection="1">
      <alignment horizontal="center" vertical="center"/>
      <protection locked="0"/>
    </xf>
    <xf numFmtId="41" fontId="4" fillId="6" borderId="16" xfId="2" applyFont="1" applyFill="1" applyBorder="1" applyAlignment="1" applyProtection="1">
      <alignment horizontal="center" vertical="center"/>
      <protection locked="0"/>
    </xf>
    <xf numFmtId="41" fontId="4" fillId="5" borderId="13" xfId="2" applyFont="1" applyFill="1" applyBorder="1" applyAlignment="1" applyProtection="1">
      <alignment horizontal="center" vertical="center"/>
      <protection locked="0"/>
    </xf>
    <xf numFmtId="41" fontId="4" fillId="5" borderId="90" xfId="2" applyFont="1" applyFill="1" applyBorder="1" applyAlignment="1" applyProtection="1">
      <alignment horizontal="center" vertical="center"/>
      <protection locked="0"/>
    </xf>
    <xf numFmtId="41" fontId="4" fillId="6" borderId="91" xfId="2" applyFont="1" applyFill="1" applyBorder="1" applyAlignment="1" applyProtection="1">
      <alignment horizontal="center" vertical="center"/>
      <protection locked="0"/>
    </xf>
    <xf numFmtId="41" fontId="4" fillId="5" borderId="91" xfId="2" applyFont="1" applyFill="1" applyBorder="1" applyAlignment="1" applyProtection="1">
      <alignment horizontal="center" vertical="center"/>
      <protection locked="0"/>
    </xf>
    <xf numFmtId="41" fontId="4" fillId="6" borderId="92" xfId="2" applyFont="1" applyFill="1" applyBorder="1" applyAlignment="1" applyProtection="1">
      <alignment horizontal="center" vertical="center"/>
      <protection locked="0"/>
    </xf>
    <xf numFmtId="0" fontId="4" fillId="4" borderId="11" xfId="0" applyFont="1" applyFill="1" applyBorder="1" applyAlignment="1" applyProtection="1">
      <alignment horizontal="center" vertical="center"/>
      <protection locked="0"/>
    </xf>
    <xf numFmtId="0" fontId="4" fillId="4" borderId="14" xfId="0" applyFont="1" applyFill="1" applyBorder="1" applyAlignment="1" applyProtection="1">
      <alignment horizontal="left" vertical="center"/>
      <protection locked="0"/>
    </xf>
    <xf numFmtId="0" fontId="4" fillId="4" borderId="46" xfId="0" applyFont="1" applyFill="1" applyBorder="1" applyAlignment="1" applyProtection="1">
      <alignment horizontal="center" vertical="center"/>
      <protection locked="0"/>
    </xf>
    <xf numFmtId="41" fontId="4" fillId="4" borderId="48" xfId="2" applyFont="1" applyFill="1" applyBorder="1" applyAlignment="1" applyProtection="1">
      <alignment horizontal="center" vertical="center"/>
      <protection locked="0"/>
    </xf>
    <xf numFmtId="0" fontId="4" fillId="4" borderId="49" xfId="0" applyFont="1" applyFill="1" applyBorder="1" applyAlignment="1" applyProtection="1">
      <alignment horizontal="center" vertical="center"/>
      <protection locked="0"/>
    </xf>
    <xf numFmtId="41" fontId="4" fillId="6" borderId="23" xfId="2" applyFont="1" applyFill="1" applyBorder="1" applyAlignment="1" applyProtection="1">
      <alignment horizontal="center" vertical="center"/>
      <protection locked="0"/>
    </xf>
    <xf numFmtId="41" fontId="4" fillId="5" borderId="93" xfId="2" applyFont="1" applyFill="1" applyBorder="1" applyAlignment="1" applyProtection="1">
      <alignment horizontal="center" vertical="center"/>
      <protection locked="0"/>
    </xf>
    <xf numFmtId="41" fontId="4" fillId="6" borderId="94" xfId="2" applyFont="1" applyFill="1" applyBorder="1" applyAlignment="1" applyProtection="1">
      <alignment horizontal="center" vertical="center"/>
      <protection locked="0"/>
    </xf>
    <xf numFmtId="41" fontId="4" fillId="5" borderId="94" xfId="2" applyFont="1" applyFill="1" applyBorder="1" applyAlignment="1" applyProtection="1">
      <alignment horizontal="center" vertical="center"/>
      <protection locked="0"/>
    </xf>
    <xf numFmtId="41" fontId="4" fillId="6" borderId="95" xfId="2" applyFont="1" applyFill="1" applyBorder="1" applyAlignment="1" applyProtection="1">
      <alignment horizontal="center" vertical="center"/>
      <protection locked="0"/>
    </xf>
    <xf numFmtId="0" fontId="4" fillId="3" borderId="17" xfId="0" applyFont="1" applyFill="1" applyBorder="1" applyAlignment="1">
      <alignment horizontal="center" vertical="center"/>
    </xf>
    <xf numFmtId="0" fontId="4" fillId="3" borderId="21" xfId="0" applyFont="1" applyFill="1" applyBorder="1" applyAlignment="1">
      <alignment horizontal="left" vertical="center"/>
    </xf>
    <xf numFmtId="41" fontId="4" fillId="3" borderId="48" xfId="2" applyFont="1" applyFill="1" applyBorder="1" applyAlignment="1">
      <alignment horizontal="center" vertical="center"/>
    </xf>
    <xf numFmtId="41" fontId="4" fillId="8" borderId="23" xfId="2" applyFont="1" applyFill="1" applyBorder="1" applyAlignment="1">
      <alignment horizontal="center" vertical="center"/>
    </xf>
    <xf numFmtId="41" fontId="4" fillId="7" borderId="93" xfId="2" applyFont="1" applyFill="1" applyBorder="1" applyAlignment="1">
      <alignment horizontal="center" vertical="center"/>
    </xf>
    <xf numFmtId="41" fontId="4" fillId="8" borderId="94" xfId="2" applyFont="1" applyFill="1" applyBorder="1" applyAlignment="1">
      <alignment horizontal="center" vertical="center"/>
    </xf>
    <xf numFmtId="41" fontId="4" fillId="7" borderId="94" xfId="2" applyFont="1" applyFill="1" applyBorder="1" applyAlignment="1">
      <alignment horizontal="center" vertical="center"/>
    </xf>
    <xf numFmtId="41" fontId="4" fillId="8" borderId="95" xfId="2" applyFont="1" applyFill="1" applyBorder="1" applyAlignment="1">
      <alignment horizontal="center" vertical="center"/>
    </xf>
    <xf numFmtId="41" fontId="4" fillId="8" borderId="7" xfId="2" applyFont="1" applyFill="1" applyBorder="1" applyAlignment="1">
      <alignment horizontal="center" vertical="center"/>
    </xf>
    <xf numFmtId="41" fontId="4" fillId="7" borderId="88" xfId="2" applyFont="1" applyFill="1" applyBorder="1" applyAlignment="1">
      <alignment horizontal="center" vertical="center"/>
    </xf>
    <xf numFmtId="41" fontId="4" fillId="7" borderId="89" xfId="2" applyFont="1" applyFill="1" applyBorder="1" applyAlignment="1">
      <alignment horizontal="center" vertical="center"/>
    </xf>
    <xf numFmtId="0" fontId="4" fillId="3" borderId="53" xfId="0" applyFont="1" applyFill="1" applyBorder="1">
      <alignment vertical="center"/>
    </xf>
    <xf numFmtId="0" fontId="4" fillId="3" borderId="54" xfId="0" applyFont="1" applyFill="1" applyBorder="1">
      <alignment vertical="center"/>
    </xf>
    <xf numFmtId="0" fontId="4" fillId="3" borderId="55" xfId="0" applyFont="1" applyFill="1" applyBorder="1" applyAlignment="1">
      <alignment horizontal="center" vertical="center"/>
    </xf>
    <xf numFmtId="41" fontId="4" fillId="7" borderId="96" xfId="2" applyFont="1" applyFill="1" applyBorder="1" applyAlignment="1">
      <alignment horizontal="center" vertical="center"/>
    </xf>
    <xf numFmtId="41" fontId="4" fillId="7" borderId="97" xfId="2" applyFont="1" applyFill="1" applyBorder="1" applyAlignment="1">
      <alignment horizontal="center" vertical="center"/>
    </xf>
    <xf numFmtId="41" fontId="4" fillId="7" borderId="98" xfId="2" applyFont="1" applyFill="1" applyBorder="1" applyAlignment="1">
      <alignment horizontal="center" vertical="center"/>
    </xf>
    <xf numFmtId="41" fontId="4" fillId="7" borderId="99" xfId="2" applyFont="1" applyFill="1" applyBorder="1" applyAlignment="1">
      <alignment horizontal="center" vertical="center"/>
    </xf>
    <xf numFmtId="0" fontId="10" fillId="2" borderId="0" xfId="0" applyFont="1" applyFill="1">
      <alignment vertical="center"/>
    </xf>
    <xf numFmtId="0" fontId="11" fillId="2" borderId="0" xfId="0" applyFont="1" applyFill="1" applyAlignment="1">
      <alignment horizontal="right" vertical="center"/>
    </xf>
    <xf numFmtId="181" fontId="11" fillId="2" borderId="0" xfId="0" applyNumberFormat="1" applyFont="1" applyFill="1" applyAlignment="1">
      <alignment horizontal="left" vertical="center"/>
    </xf>
    <xf numFmtId="0" fontId="4" fillId="3" borderId="57" xfId="0" applyFont="1" applyFill="1" applyBorder="1" applyAlignment="1">
      <alignment horizontal="center" vertical="center"/>
    </xf>
    <xf numFmtId="0" fontId="4" fillId="3" borderId="4" xfId="0" applyFont="1" applyFill="1" applyBorder="1" applyAlignment="1">
      <alignment horizontal="left" vertical="center"/>
    </xf>
    <xf numFmtId="0" fontId="4" fillId="3" borderId="40" xfId="0" applyFont="1" applyFill="1" applyBorder="1" applyAlignment="1">
      <alignment horizontal="left" vertical="center"/>
    </xf>
    <xf numFmtId="0" fontId="4" fillId="3" borderId="100" xfId="0" applyFont="1" applyFill="1" applyBorder="1" applyAlignment="1">
      <alignment horizontal="center" vertical="center"/>
    </xf>
    <xf numFmtId="0" fontId="4" fillId="3" borderId="101" xfId="0" applyFont="1" applyFill="1" applyBorder="1" applyAlignment="1">
      <alignment horizontal="center" vertical="center"/>
    </xf>
    <xf numFmtId="41" fontId="4" fillId="6" borderId="102" xfId="2" applyFont="1" applyFill="1" applyBorder="1" applyAlignment="1" applyProtection="1">
      <alignment horizontal="center" vertical="center"/>
      <protection locked="0"/>
    </xf>
    <xf numFmtId="41" fontId="4" fillId="5" borderId="103" xfId="2" applyFont="1" applyFill="1" applyBorder="1" applyAlignment="1" applyProtection="1">
      <alignment horizontal="center" vertical="center"/>
      <protection locked="0"/>
    </xf>
    <xf numFmtId="41" fontId="4" fillId="6" borderId="86" xfId="2" applyFont="1" applyFill="1" applyBorder="1" applyAlignment="1" applyProtection="1">
      <alignment horizontal="center" vertical="center"/>
      <protection locked="0"/>
    </xf>
    <xf numFmtId="41" fontId="4" fillId="5" borderId="86" xfId="2" applyFont="1" applyFill="1" applyBorder="1" applyAlignment="1" applyProtection="1">
      <alignment horizontal="center" vertical="center"/>
      <protection locked="0"/>
    </xf>
    <xf numFmtId="41" fontId="4" fillId="6" borderId="87" xfId="2" applyFont="1" applyFill="1" applyBorder="1" applyAlignment="1" applyProtection="1">
      <alignment horizontal="center" vertical="center"/>
      <protection locked="0"/>
    </xf>
    <xf numFmtId="41" fontId="4" fillId="8" borderId="100" xfId="2" applyFont="1" applyFill="1" applyBorder="1" applyAlignment="1">
      <alignment horizontal="center" vertical="center"/>
    </xf>
    <xf numFmtId="41" fontId="4" fillId="7" borderId="101" xfId="2" applyFont="1" applyFill="1" applyBorder="1" applyAlignment="1">
      <alignment horizontal="center" vertical="center"/>
    </xf>
    <xf numFmtId="41" fontId="4" fillId="8" borderId="83" xfId="2" applyFont="1" applyFill="1" applyBorder="1" applyAlignment="1">
      <alignment horizontal="center" vertical="center"/>
    </xf>
    <xf numFmtId="41" fontId="4" fillId="7" borderId="38" xfId="2" applyFont="1" applyFill="1" applyBorder="1" applyAlignment="1">
      <alignment horizontal="center" vertical="center"/>
    </xf>
    <xf numFmtId="41" fontId="4" fillId="8" borderId="84" xfId="2" applyFont="1" applyFill="1" applyBorder="1" applyAlignment="1">
      <alignment horizontal="center" vertical="center"/>
    </xf>
    <xf numFmtId="176" fontId="4" fillId="7" borderId="53" xfId="0" applyNumberFormat="1" applyFont="1" applyFill="1" applyBorder="1">
      <alignment vertical="center"/>
    </xf>
    <xf numFmtId="41" fontId="4" fillId="7" borderId="56" xfId="2" applyFont="1" applyFill="1" applyBorder="1">
      <alignment vertical="center"/>
    </xf>
    <xf numFmtId="41" fontId="4" fillId="7" borderId="96" xfId="2" applyFont="1" applyFill="1" applyBorder="1">
      <alignment vertical="center"/>
    </xf>
    <xf numFmtId="41" fontId="4" fillId="7" borderId="104" xfId="2" applyFont="1" applyFill="1" applyBorder="1">
      <alignment vertical="center"/>
    </xf>
    <xf numFmtId="41" fontId="4" fillId="7" borderId="105" xfId="2" applyFont="1" applyFill="1" applyBorder="1">
      <alignment vertical="center"/>
    </xf>
    <xf numFmtId="41" fontId="4" fillId="7" borderId="106" xfId="2" applyFont="1" applyFill="1" applyBorder="1">
      <alignment vertical="center"/>
    </xf>
    <xf numFmtId="0" fontId="4" fillId="3" borderId="21" xfId="0" applyFont="1" applyFill="1" applyBorder="1" applyAlignment="1">
      <alignment horizontal="center" vertical="center"/>
    </xf>
    <xf numFmtId="0" fontId="4" fillId="3" borderId="49" xfId="0" applyFont="1" applyFill="1" applyBorder="1" applyAlignment="1">
      <alignment horizontal="left" vertical="center"/>
    </xf>
    <xf numFmtId="41" fontId="4" fillId="7" borderId="83" xfId="2" applyFont="1" applyFill="1" applyBorder="1" applyAlignment="1">
      <alignment horizontal="center" vertical="center"/>
    </xf>
    <xf numFmtId="0" fontId="4" fillId="2" borderId="17" xfId="0" applyFont="1" applyFill="1" applyBorder="1" applyAlignment="1">
      <alignment horizontal="center" vertical="center"/>
    </xf>
    <xf numFmtId="0" fontId="4" fillId="2" borderId="21" xfId="0" applyFont="1" applyFill="1" applyBorder="1" applyAlignment="1">
      <alignment horizontal="left" vertical="center"/>
    </xf>
    <xf numFmtId="0" fontId="4" fillId="2" borderId="49" xfId="0" applyFont="1" applyFill="1" applyBorder="1" applyAlignment="1">
      <alignment horizontal="center" vertical="center"/>
    </xf>
    <xf numFmtId="41" fontId="4" fillId="2" borderId="48" xfId="2" applyFont="1" applyFill="1" applyBorder="1" applyAlignment="1">
      <alignment horizontal="center" vertical="center"/>
    </xf>
    <xf numFmtId="41" fontId="4" fillId="5" borderId="83" xfId="2" applyFont="1" applyFill="1" applyBorder="1" applyAlignment="1">
      <alignment horizontal="center" vertical="center"/>
    </xf>
    <xf numFmtId="41" fontId="4" fillId="6" borderId="83" xfId="2" applyFont="1" applyFill="1" applyBorder="1" applyAlignment="1">
      <alignment horizontal="center" vertical="center"/>
    </xf>
    <xf numFmtId="41" fontId="4" fillId="6" borderId="84" xfId="2" applyFont="1" applyFill="1" applyBorder="1" applyAlignment="1">
      <alignment horizontal="center" vertical="center"/>
    </xf>
    <xf numFmtId="0" fontId="4" fillId="2" borderId="58" xfId="0" applyFont="1" applyFill="1" applyBorder="1" applyAlignment="1">
      <alignment horizontal="center" vertical="center"/>
    </xf>
    <xf numFmtId="0" fontId="4" fillId="2" borderId="59" xfId="0" applyFont="1" applyFill="1" applyBorder="1" applyAlignment="1">
      <alignment horizontal="left" vertical="center"/>
    </xf>
    <xf numFmtId="0" fontId="4" fillId="2" borderId="60" xfId="0" applyFont="1" applyFill="1" applyBorder="1" applyAlignment="1">
      <alignment horizontal="center" vertical="center"/>
    </xf>
    <xf numFmtId="41" fontId="4" fillId="2" borderId="61" xfId="2" applyFont="1" applyFill="1" applyBorder="1" applyAlignment="1">
      <alignment horizontal="center" vertical="center"/>
    </xf>
    <xf numFmtId="41" fontId="4" fillId="5" borderId="107" xfId="2" applyFont="1" applyFill="1" applyBorder="1" applyAlignment="1">
      <alignment horizontal="center" vertical="center"/>
    </xf>
    <xf numFmtId="41" fontId="4" fillId="6" borderId="107" xfId="2" applyFont="1" applyFill="1" applyBorder="1" applyAlignment="1">
      <alignment horizontal="center" vertical="center"/>
    </xf>
    <xf numFmtId="41" fontId="4" fillId="6" borderId="108" xfId="2" applyFont="1" applyFill="1" applyBorder="1" applyAlignment="1">
      <alignment horizontal="center" vertical="center"/>
    </xf>
    <xf numFmtId="0" fontId="4" fillId="2" borderId="35" xfId="0" applyFont="1" applyFill="1" applyBorder="1" applyAlignment="1">
      <alignment horizontal="center" vertical="center"/>
    </xf>
    <xf numFmtId="0" fontId="4" fillId="3" borderId="39" xfId="0" applyFont="1" applyFill="1" applyBorder="1" applyAlignment="1">
      <alignment horizontal="left" vertical="center"/>
    </xf>
    <xf numFmtId="41" fontId="4" fillId="8" borderId="38" xfId="2" applyFont="1" applyFill="1" applyBorder="1" applyAlignment="1">
      <alignment horizontal="center" vertical="center"/>
    </xf>
    <xf numFmtId="41" fontId="4" fillId="8" borderId="85" xfId="2" applyFont="1" applyFill="1" applyBorder="1" applyAlignment="1">
      <alignment horizontal="center" vertical="center"/>
    </xf>
    <xf numFmtId="0" fontId="4" fillId="3" borderId="66" xfId="0" applyFont="1" applyFill="1" applyBorder="1">
      <alignment vertical="center"/>
    </xf>
    <xf numFmtId="0" fontId="4" fillId="3" borderId="67" xfId="0" applyFont="1" applyFill="1" applyBorder="1">
      <alignment vertical="center"/>
    </xf>
    <xf numFmtId="41" fontId="4" fillId="7" borderId="109" xfId="2" applyFont="1" applyFill="1" applyBorder="1" applyAlignment="1">
      <alignment horizontal="right" vertical="center"/>
    </xf>
    <xf numFmtId="41" fontId="4" fillId="8" borderId="109" xfId="2" applyFont="1" applyFill="1" applyBorder="1" applyAlignment="1">
      <alignment horizontal="right" vertical="center"/>
    </xf>
    <xf numFmtId="41" fontId="4" fillId="8" borderId="110" xfId="2" applyFont="1" applyFill="1" applyBorder="1" applyAlignment="1">
      <alignment horizontal="right" vertical="center"/>
    </xf>
    <xf numFmtId="0" fontId="4" fillId="9" borderId="72" xfId="0" applyFont="1" applyFill="1" applyBorder="1">
      <alignment vertical="center"/>
    </xf>
    <xf numFmtId="0" fontId="4" fillId="9" borderId="73" xfId="0" applyFont="1" applyFill="1" applyBorder="1">
      <alignment vertical="center"/>
    </xf>
    <xf numFmtId="9" fontId="4" fillId="7" borderId="83" xfId="1" applyFont="1" applyFill="1" applyBorder="1" applyAlignment="1">
      <alignment horizontal="right" vertical="center"/>
    </xf>
    <xf numFmtId="9" fontId="4" fillId="8" borderId="83" xfId="1" applyFont="1" applyFill="1" applyBorder="1" applyAlignment="1">
      <alignment horizontal="right" vertical="center"/>
    </xf>
    <xf numFmtId="9" fontId="4" fillId="8" borderId="84" xfId="1" applyFont="1" applyFill="1" applyBorder="1" applyAlignment="1">
      <alignment horizontal="right" vertical="center"/>
    </xf>
    <xf numFmtId="0" fontId="7" fillId="10" borderId="75" xfId="0" applyFont="1" applyFill="1" applyBorder="1">
      <alignment vertical="center"/>
    </xf>
    <xf numFmtId="0" fontId="7" fillId="10" borderId="76" xfId="0" applyFont="1" applyFill="1" applyBorder="1">
      <alignment vertical="center"/>
    </xf>
    <xf numFmtId="0" fontId="7" fillId="10" borderId="76" xfId="0" applyFont="1" applyFill="1" applyBorder="1" applyAlignment="1">
      <alignment horizontal="right" vertical="center"/>
    </xf>
    <xf numFmtId="41" fontId="4" fillId="7" borderId="111" xfId="2" applyFont="1" applyFill="1" applyBorder="1" applyAlignment="1">
      <alignment horizontal="center" vertical="center"/>
    </xf>
    <xf numFmtId="41" fontId="4" fillId="8" borderId="111" xfId="2" applyFont="1" applyFill="1" applyBorder="1" applyAlignment="1">
      <alignment horizontal="center" vertical="center"/>
    </xf>
    <xf numFmtId="41" fontId="4" fillId="8" borderId="112" xfId="2" applyFont="1" applyFill="1" applyBorder="1" applyAlignment="1">
      <alignment horizontal="center" vertical="center"/>
    </xf>
    <xf numFmtId="181" fontId="4" fillId="2" borderId="0" xfId="0" applyNumberFormat="1" applyFont="1" applyFill="1">
      <alignment vertical="center"/>
    </xf>
    <xf numFmtId="0" fontId="4" fillId="3" borderId="53" xfId="0" applyFont="1" applyFill="1" applyBorder="1" applyAlignment="1">
      <alignment horizontal="center" vertical="center"/>
    </xf>
    <xf numFmtId="41" fontId="4" fillId="2" borderId="55" xfId="0" applyNumberFormat="1" applyFont="1" applyFill="1" applyBorder="1">
      <alignment vertical="center"/>
    </xf>
    <xf numFmtId="178" fontId="4" fillId="2" borderId="0" xfId="0" applyNumberFormat="1" applyFont="1" applyFill="1">
      <alignment vertical="center"/>
    </xf>
    <xf numFmtId="0" fontId="4" fillId="2" borderId="0" xfId="0" applyFont="1" applyFill="1" applyAlignment="1">
      <alignment horizontal="right" vertical="center"/>
    </xf>
    <xf numFmtId="182" fontId="4" fillId="2" borderId="0" xfId="0" applyNumberFormat="1" applyFont="1" applyFill="1">
      <alignment vertical="center"/>
    </xf>
    <xf numFmtId="182" fontId="4" fillId="2" borderId="0" xfId="0" applyNumberFormat="1" applyFont="1" applyFill="1" applyAlignment="1">
      <alignment horizontal="center" vertical="center"/>
    </xf>
    <xf numFmtId="0" fontId="4" fillId="3" borderId="27" xfId="0" applyFont="1" applyFill="1" applyBorder="1" applyAlignment="1">
      <alignment horizontal="center" vertical="center"/>
    </xf>
    <xf numFmtId="9" fontId="4" fillId="2" borderId="12" xfId="1" applyFont="1" applyFill="1" applyBorder="1" applyAlignment="1">
      <alignment horizontal="center" vertical="center"/>
    </xf>
    <xf numFmtId="0" fontId="4" fillId="3" borderId="8" xfId="0" applyFont="1" applyFill="1" applyBorder="1" applyAlignment="1">
      <alignment horizontal="center" vertical="center"/>
    </xf>
    <xf numFmtId="9" fontId="4" fillId="2" borderId="18" xfId="2" applyNumberFormat="1" applyFont="1" applyFill="1" applyBorder="1" applyAlignment="1">
      <alignment horizontal="center" vertical="center"/>
    </xf>
    <xf numFmtId="0" fontId="4" fillId="3" borderId="35" xfId="0" applyFont="1" applyFill="1" applyBorder="1" applyAlignment="1">
      <alignment horizontal="center" vertical="center"/>
    </xf>
    <xf numFmtId="183" fontId="4" fillId="2" borderId="0" xfId="0" applyNumberFormat="1" applyFont="1" applyFill="1">
      <alignment vertical="center"/>
    </xf>
    <xf numFmtId="0" fontId="4" fillId="9" borderId="118" xfId="0" applyFont="1" applyFill="1" applyBorder="1" applyAlignment="1">
      <alignment horizontal="right" vertical="center"/>
    </xf>
    <xf numFmtId="41" fontId="4" fillId="3" borderId="61" xfId="2" applyFont="1" applyFill="1" applyBorder="1" applyAlignment="1">
      <alignment horizontal="right" vertical="center"/>
    </xf>
    <xf numFmtId="0" fontId="4" fillId="3" borderId="120" xfId="0" applyFont="1" applyFill="1" applyBorder="1" applyAlignment="1">
      <alignment horizontal="right" vertical="center"/>
    </xf>
    <xf numFmtId="41" fontId="4" fillId="2" borderId="0" xfId="2" applyFont="1" applyFill="1">
      <alignment vertical="center"/>
    </xf>
    <xf numFmtId="0" fontId="4" fillId="2" borderId="119" xfId="0" applyFont="1" applyFill="1" applyBorder="1" applyAlignment="1">
      <alignment horizontal="center" vertical="center"/>
    </xf>
    <xf numFmtId="41" fontId="4" fillId="0" borderId="18" xfId="2" applyFont="1" applyBorder="1" applyAlignment="1">
      <alignment horizontal="center" vertical="center"/>
    </xf>
    <xf numFmtId="0" fontId="28" fillId="2" borderId="0" xfId="0" applyFont="1" applyFill="1">
      <alignment vertical="center"/>
    </xf>
    <xf numFmtId="0" fontId="29" fillId="2" borderId="0" xfId="0" applyFont="1" applyFill="1">
      <alignment vertical="center"/>
    </xf>
    <xf numFmtId="0" fontId="29" fillId="2" borderId="0" xfId="0" applyFont="1" applyFill="1" applyAlignment="1">
      <alignment horizontal="center" vertical="center"/>
    </xf>
    <xf numFmtId="0" fontId="30" fillId="2" borderId="0" xfId="0" applyFont="1" applyFill="1">
      <alignment vertical="center"/>
    </xf>
    <xf numFmtId="0" fontId="4" fillId="4" borderId="31" xfId="0" applyFont="1" applyFill="1" applyBorder="1" applyAlignment="1" applyProtection="1">
      <alignment horizontal="left" vertical="center"/>
      <protection locked="0"/>
    </xf>
    <xf numFmtId="0" fontId="4" fillId="4" borderId="21" xfId="0" applyFont="1" applyFill="1" applyBorder="1" applyAlignment="1" applyProtection="1">
      <alignment horizontal="left" vertical="center"/>
      <protection locked="0"/>
    </xf>
    <xf numFmtId="198" fontId="4" fillId="6" borderId="16" xfId="2" applyNumberFormat="1" applyFont="1" applyFill="1" applyBorder="1" applyAlignment="1" applyProtection="1">
      <alignment horizontal="center" vertical="center"/>
      <protection locked="0"/>
    </xf>
    <xf numFmtId="198" fontId="4" fillId="5" borderId="86" xfId="2" applyNumberFormat="1" applyFont="1" applyFill="1" applyBorder="1" applyAlignment="1" applyProtection="1">
      <alignment horizontal="center" vertical="center"/>
      <protection locked="0"/>
    </xf>
    <xf numFmtId="198" fontId="4" fillId="6" borderId="86" xfId="2" applyNumberFormat="1" applyFont="1" applyFill="1" applyBorder="1" applyAlignment="1" applyProtection="1">
      <alignment horizontal="center" vertical="center"/>
      <protection locked="0"/>
    </xf>
    <xf numFmtId="198" fontId="4" fillId="6" borderId="87" xfId="2" applyNumberFormat="1" applyFont="1" applyFill="1" applyBorder="1" applyAlignment="1" applyProtection="1">
      <alignment horizontal="center" vertical="center"/>
      <protection locked="0"/>
    </xf>
    <xf numFmtId="198" fontId="4" fillId="6" borderId="23" xfId="2" applyNumberFormat="1" applyFont="1" applyFill="1" applyBorder="1" applyAlignment="1" applyProtection="1">
      <alignment horizontal="center" vertical="center"/>
      <protection locked="0"/>
    </xf>
    <xf numFmtId="198" fontId="4" fillId="6" borderId="83" xfId="2" applyNumberFormat="1" applyFont="1" applyFill="1" applyBorder="1" applyAlignment="1" applyProtection="1">
      <alignment horizontal="center" vertical="center"/>
      <protection locked="0"/>
    </xf>
    <xf numFmtId="198" fontId="4" fillId="6" borderId="84" xfId="2" applyNumberFormat="1" applyFont="1" applyFill="1" applyBorder="1" applyAlignment="1" applyProtection="1">
      <alignment horizontal="center" vertical="center"/>
      <protection locked="0"/>
    </xf>
    <xf numFmtId="198" fontId="4" fillId="5" borderId="83" xfId="2" applyNumberFormat="1" applyFont="1" applyFill="1" applyBorder="1" applyAlignment="1" applyProtection="1">
      <alignment horizontal="center" vertical="center"/>
      <protection locked="0"/>
    </xf>
    <xf numFmtId="41" fontId="0" fillId="0" borderId="0" xfId="45" applyFont="1">
      <alignment vertical="center"/>
    </xf>
    <xf numFmtId="0" fontId="31" fillId="0" borderId="0" xfId="44">
      <alignment vertical="center"/>
    </xf>
    <xf numFmtId="41" fontId="35" fillId="0" borderId="0" xfId="45" applyFont="1">
      <alignment vertical="center"/>
    </xf>
    <xf numFmtId="0" fontId="35" fillId="0" borderId="0" xfId="44" applyFont="1">
      <alignment vertical="center"/>
    </xf>
    <xf numFmtId="0" fontId="36" fillId="0" borderId="0" xfId="44" applyFont="1" applyAlignment="1">
      <alignment horizontal="left" vertical="center" wrapText="1"/>
    </xf>
    <xf numFmtId="0" fontId="35" fillId="0" borderId="0" xfId="44" applyFont="1" applyAlignment="1">
      <alignment horizontal="right" vertical="center"/>
    </xf>
    <xf numFmtId="0" fontId="37" fillId="18" borderId="123" xfId="44" applyFont="1" applyFill="1" applyBorder="1" applyAlignment="1">
      <alignment horizontal="center" vertical="center" wrapText="1"/>
    </xf>
    <xf numFmtId="0" fontId="37" fillId="18" borderId="128" xfId="44" applyFont="1" applyFill="1" applyBorder="1" applyAlignment="1">
      <alignment horizontal="center" vertical="center" wrapText="1"/>
    </xf>
    <xf numFmtId="0" fontId="37" fillId="18" borderId="129" xfId="44" applyFont="1" applyFill="1" applyBorder="1" applyAlignment="1">
      <alignment horizontal="center" vertical="center" wrapText="1"/>
    </xf>
    <xf numFmtId="0" fontId="37" fillId="18" borderId="130" xfId="44" applyFont="1" applyFill="1" applyBorder="1" applyAlignment="1">
      <alignment horizontal="center" vertical="center" wrapText="1"/>
    </xf>
    <xf numFmtId="0" fontId="37" fillId="18" borderId="127" xfId="44" applyFont="1" applyFill="1" applyBorder="1" applyAlignment="1">
      <alignment horizontal="center" vertical="center" wrapText="1"/>
    </xf>
    <xf numFmtId="0" fontId="37" fillId="0" borderId="128" xfId="44" applyFont="1" applyBorder="1" applyAlignment="1">
      <alignment horizontal="center" vertical="center" wrapText="1"/>
    </xf>
    <xf numFmtId="0" fontId="37" fillId="0" borderId="128" xfId="44" applyFont="1" applyBorder="1" applyAlignment="1">
      <alignment horizontal="right" vertical="center" wrapText="1" indent="1"/>
    </xf>
    <xf numFmtId="3" fontId="37" fillId="0" borderId="128" xfId="44" applyNumberFormat="1" applyFont="1" applyBorder="1" applyAlignment="1">
      <alignment horizontal="right" vertical="center" wrapText="1" indent="1"/>
    </xf>
    <xf numFmtId="3" fontId="37" fillId="0" borderId="129" xfId="44" applyNumberFormat="1" applyFont="1" applyBorder="1" applyAlignment="1">
      <alignment horizontal="right" vertical="center" wrapText="1" indent="1"/>
    </xf>
    <xf numFmtId="199" fontId="37" fillId="0" borderId="130" xfId="44" applyNumberFormat="1" applyFont="1" applyBorder="1" applyAlignment="1">
      <alignment horizontal="center" vertical="center" wrapText="1"/>
    </xf>
    <xf numFmtId="43" fontId="35" fillId="0" borderId="0" xfId="44" applyNumberFormat="1" applyFont="1">
      <alignment vertical="center"/>
    </xf>
    <xf numFmtId="0" fontId="34" fillId="11" borderId="0" xfId="44" applyFont="1" applyFill="1">
      <alignment vertical="center"/>
    </xf>
    <xf numFmtId="0" fontId="34" fillId="11" borderId="0" xfId="44" applyFont="1" applyFill="1" applyAlignment="1">
      <alignment horizontal="right" vertical="center"/>
    </xf>
    <xf numFmtId="0" fontId="4" fillId="3" borderId="132" xfId="0" applyFont="1" applyFill="1" applyBorder="1" applyAlignment="1">
      <alignment horizontal="center" vertical="center"/>
    </xf>
    <xf numFmtId="178" fontId="4" fillId="3" borderId="133" xfId="0" applyNumberFormat="1" applyFont="1" applyFill="1" applyBorder="1" applyAlignment="1">
      <alignment horizontal="center" vertical="center"/>
    </xf>
    <xf numFmtId="178" fontId="4" fillId="3" borderId="134" xfId="0" applyNumberFormat="1" applyFont="1" applyFill="1" applyBorder="1" applyAlignment="1">
      <alignment horizontal="center" vertical="center"/>
    </xf>
    <xf numFmtId="0" fontId="4" fillId="3" borderId="133" xfId="0" applyFont="1" applyFill="1" applyBorder="1" applyAlignment="1">
      <alignment horizontal="center" vertical="center"/>
    </xf>
    <xf numFmtId="0" fontId="4" fillId="3" borderId="134" xfId="0" applyFont="1" applyFill="1" applyBorder="1" applyAlignment="1">
      <alignment horizontal="center" vertical="center"/>
    </xf>
    <xf numFmtId="0" fontId="4" fillId="3" borderId="135" xfId="0" applyFont="1" applyFill="1" applyBorder="1" applyAlignment="1">
      <alignment horizontal="center" vertical="center"/>
    </xf>
    <xf numFmtId="0" fontId="4" fillId="3" borderId="136" xfId="0" applyFont="1" applyFill="1" applyBorder="1" applyAlignment="1">
      <alignment horizontal="center" vertical="center"/>
    </xf>
    <xf numFmtId="0" fontId="40" fillId="18" borderId="123" xfId="44" applyFont="1" applyFill="1" applyBorder="1" applyAlignment="1">
      <alignment horizontal="center" vertical="center" wrapText="1"/>
    </xf>
    <xf numFmtId="0" fontId="4" fillId="20" borderId="9" xfId="0" applyFont="1" applyFill="1" applyBorder="1" applyAlignment="1" applyProtection="1">
      <alignment horizontal="center" vertical="center"/>
      <protection locked="0"/>
    </xf>
    <xf numFmtId="0" fontId="4" fillId="20" borderId="19" xfId="0" applyFont="1" applyFill="1" applyBorder="1" applyAlignment="1">
      <alignment horizontal="center" vertical="center"/>
    </xf>
    <xf numFmtId="0" fontId="4" fillId="20" borderId="50" xfId="0" applyFont="1" applyFill="1" applyBorder="1" applyAlignment="1">
      <alignment horizontal="center" vertical="center"/>
    </xf>
    <xf numFmtId="0" fontId="4" fillId="20" borderId="131" xfId="0" applyFont="1" applyFill="1" applyBorder="1" applyAlignment="1">
      <alignment horizontal="center" vertical="center"/>
    </xf>
    <xf numFmtId="178" fontId="4" fillId="20" borderId="133" xfId="0" applyNumberFormat="1" applyFont="1" applyFill="1" applyBorder="1" applyAlignment="1">
      <alignment horizontal="center" vertical="center"/>
    </xf>
    <xf numFmtId="41" fontId="41" fillId="7" borderId="1" xfId="2" applyFont="1" applyFill="1" applyBorder="1" applyAlignment="1">
      <alignment horizontal="right" vertical="center"/>
    </xf>
    <xf numFmtId="41" fontId="41" fillId="8" borderId="5" xfId="2" applyFont="1" applyFill="1" applyBorder="1" applyAlignment="1">
      <alignment horizontal="right" vertical="center"/>
    </xf>
    <xf numFmtId="197" fontId="41" fillId="2" borderId="19" xfId="0" applyNumberFormat="1" applyFont="1" applyFill="1" applyBorder="1" applyAlignment="1">
      <alignment horizontal="center" vertical="center"/>
    </xf>
    <xf numFmtId="41" fontId="41" fillId="2" borderId="11" xfId="2" applyFont="1" applyFill="1" applyBorder="1" applyAlignment="1">
      <alignment horizontal="center" vertical="center"/>
    </xf>
    <xf numFmtId="176" fontId="41" fillId="2" borderId="11" xfId="0" applyNumberFormat="1" applyFont="1" applyFill="1" applyBorder="1" applyAlignment="1">
      <alignment horizontal="center" vertical="center"/>
    </xf>
    <xf numFmtId="41" fontId="41" fillId="2" borderId="12" xfId="2" applyFont="1" applyFill="1" applyBorder="1" applyAlignment="1">
      <alignment horizontal="center" vertical="center"/>
    </xf>
    <xf numFmtId="176" fontId="41" fillId="2" borderId="19" xfId="0" applyNumberFormat="1" applyFont="1" applyFill="1" applyBorder="1" applyAlignment="1">
      <alignment horizontal="center" vertical="center"/>
    </xf>
    <xf numFmtId="176" fontId="41" fillId="7" borderId="27" xfId="0" applyNumberFormat="1" applyFont="1" applyFill="1" applyBorder="1" applyAlignment="1">
      <alignment horizontal="center" vertical="center"/>
    </xf>
    <xf numFmtId="41" fontId="41" fillId="7" borderId="28" xfId="2" applyFont="1" applyFill="1" applyBorder="1" applyAlignment="1">
      <alignment horizontal="center" vertical="center"/>
    </xf>
    <xf numFmtId="176" fontId="41" fillId="8" borderId="28" xfId="0" applyNumberFormat="1" applyFont="1" applyFill="1" applyBorder="1" applyAlignment="1">
      <alignment horizontal="center" vertical="center"/>
    </xf>
    <xf numFmtId="41" fontId="41" fillId="8" borderId="29" xfId="2" applyFont="1" applyFill="1" applyBorder="1">
      <alignment vertical="center"/>
    </xf>
    <xf numFmtId="176" fontId="41" fillId="7" borderId="35" xfId="0" applyNumberFormat="1" applyFont="1" applyFill="1" applyBorder="1">
      <alignment vertical="center"/>
    </xf>
    <xf numFmtId="41" fontId="41" fillId="7" borderId="36" xfId="2" applyFont="1" applyFill="1" applyBorder="1">
      <alignment vertical="center"/>
    </xf>
    <xf numFmtId="176" fontId="41" fillId="8" borderId="36" xfId="0" applyNumberFormat="1" applyFont="1" applyFill="1" applyBorder="1" applyAlignment="1">
      <alignment horizontal="center" vertical="center"/>
    </xf>
    <xf numFmtId="176" fontId="41" fillId="8" borderId="37" xfId="0" applyNumberFormat="1" applyFont="1" applyFill="1" applyBorder="1">
      <alignment vertical="center"/>
    </xf>
    <xf numFmtId="198" fontId="41" fillId="5" borderId="19" xfId="2" applyNumberFormat="1" applyFont="1" applyFill="1" applyBorder="1" applyAlignment="1" applyProtection="1">
      <alignment horizontal="center" vertical="center"/>
      <protection locked="0"/>
    </xf>
    <xf numFmtId="198" fontId="41" fillId="6" borderId="14" xfId="2" applyNumberFormat="1" applyFont="1" applyFill="1" applyBorder="1" applyAlignment="1" applyProtection="1">
      <alignment horizontal="center" vertical="center"/>
      <protection locked="0"/>
    </xf>
    <xf numFmtId="198" fontId="41" fillId="5" borderId="15" xfId="2" applyNumberFormat="1" applyFont="1" applyFill="1" applyBorder="1" applyAlignment="1" applyProtection="1">
      <alignment horizontal="center" vertical="center"/>
      <protection locked="0"/>
    </xf>
    <xf numFmtId="198" fontId="41" fillId="6" borderId="16" xfId="2" applyNumberFormat="1" applyFont="1" applyFill="1" applyBorder="1" applyAlignment="1" applyProtection="1">
      <alignment horizontal="center" vertical="center"/>
      <protection locked="0"/>
    </xf>
    <xf numFmtId="198" fontId="41" fillId="5" borderId="13" xfId="2" applyNumberFormat="1" applyFont="1" applyFill="1" applyBorder="1" applyAlignment="1" applyProtection="1">
      <alignment horizontal="center" vertical="center"/>
      <protection locked="0"/>
    </xf>
    <xf numFmtId="198" fontId="41" fillId="6" borderId="21" xfId="2" applyNumberFormat="1" applyFont="1" applyFill="1" applyBorder="1" applyAlignment="1" applyProtection="1">
      <alignment horizontal="center" vertical="center"/>
      <protection locked="0"/>
    </xf>
    <xf numFmtId="198" fontId="41" fillId="6" borderId="23" xfId="2" applyNumberFormat="1" applyFont="1" applyFill="1" applyBorder="1" applyAlignment="1" applyProtection="1">
      <alignment horizontal="center" vertical="center"/>
      <protection locked="0"/>
    </xf>
    <xf numFmtId="198" fontId="41" fillId="5" borderId="50" xfId="2" applyNumberFormat="1" applyFont="1" applyFill="1" applyBorder="1" applyAlignment="1" applyProtection="1">
      <alignment horizontal="center" vertical="center"/>
      <protection locked="0"/>
    </xf>
    <xf numFmtId="198" fontId="41" fillId="5" borderId="22" xfId="2" applyNumberFormat="1" applyFont="1" applyFill="1" applyBorder="1" applyAlignment="1" applyProtection="1">
      <alignment horizontal="center" vertical="center"/>
      <protection locked="0"/>
    </xf>
    <xf numFmtId="198" fontId="41" fillId="5" borderId="20" xfId="2" applyNumberFormat="1" applyFont="1" applyFill="1" applyBorder="1" applyAlignment="1" applyProtection="1">
      <alignment horizontal="center" vertical="center"/>
      <protection locked="0"/>
    </xf>
    <xf numFmtId="179" fontId="41" fillId="7" borderId="30" xfId="0" applyNumberFormat="1" applyFont="1" applyFill="1" applyBorder="1" applyAlignment="1">
      <alignment horizontal="right" vertical="center"/>
    </xf>
    <xf numFmtId="179" fontId="41" fillId="8" borderId="31" xfId="0" applyNumberFormat="1" applyFont="1" applyFill="1" applyBorder="1" applyAlignment="1">
      <alignment horizontal="right" vertical="center"/>
    </xf>
    <xf numFmtId="176" fontId="41" fillId="2" borderId="45" xfId="0" applyNumberFormat="1" applyFont="1" applyFill="1" applyBorder="1" applyAlignment="1">
      <alignment horizontal="center" vertical="center"/>
    </xf>
    <xf numFmtId="41" fontId="41" fillId="2" borderId="13" xfId="2" applyFont="1" applyFill="1" applyBorder="1" applyAlignment="1">
      <alignment horizontal="center" vertical="center"/>
    </xf>
    <xf numFmtId="176" fontId="41" fillId="2" borderId="46" xfId="0" applyNumberFormat="1" applyFont="1" applyFill="1" applyBorder="1" applyAlignment="1">
      <alignment horizontal="center" vertical="center"/>
    </xf>
    <xf numFmtId="41" fontId="41" fillId="2" borderId="47" xfId="2" applyFont="1" applyFill="1" applyBorder="1" applyAlignment="1">
      <alignment horizontal="center" vertical="center"/>
    </xf>
    <xf numFmtId="41" fontId="41" fillId="5" borderId="19" xfId="2" applyFont="1" applyFill="1" applyBorder="1" applyAlignment="1" applyProtection="1">
      <alignment horizontal="center" vertical="center"/>
      <protection locked="0"/>
    </xf>
    <xf numFmtId="41" fontId="41" fillId="6" borderId="14" xfId="2" applyFont="1" applyFill="1" applyBorder="1" applyAlignment="1" applyProtection="1">
      <alignment horizontal="center" vertical="center"/>
      <protection locked="0"/>
    </xf>
    <xf numFmtId="41" fontId="41" fillId="6" borderId="16" xfId="2" applyFont="1" applyFill="1" applyBorder="1" applyAlignment="1" applyProtection="1">
      <alignment horizontal="center" vertical="center"/>
      <protection locked="0"/>
    </xf>
    <xf numFmtId="41" fontId="41" fillId="5" borderId="13" xfId="2" applyFont="1" applyFill="1" applyBorder="1" applyAlignment="1" applyProtection="1">
      <alignment horizontal="center" vertical="center"/>
      <protection locked="0"/>
    </xf>
    <xf numFmtId="41" fontId="41" fillId="5" borderId="15" xfId="2" applyFont="1" applyFill="1" applyBorder="1" applyAlignment="1" applyProtection="1">
      <alignment horizontal="center" vertical="center"/>
      <protection locked="0"/>
    </xf>
    <xf numFmtId="176" fontId="41" fillId="7" borderId="45" xfId="0" applyNumberFormat="1" applyFont="1" applyFill="1" applyBorder="1" applyAlignment="1">
      <alignment horizontal="center" vertical="center"/>
    </xf>
    <xf numFmtId="41" fontId="41" fillId="7" borderId="13" xfId="2" applyFont="1" applyFill="1" applyBorder="1" applyAlignment="1">
      <alignment horizontal="center" vertical="center"/>
    </xf>
    <xf numFmtId="176" fontId="41" fillId="8" borderId="46" xfId="0" applyNumberFormat="1" applyFont="1" applyFill="1" applyBorder="1" applyAlignment="1">
      <alignment horizontal="center" vertical="center"/>
    </xf>
    <xf numFmtId="41" fontId="41" fillId="8" borderId="47" xfId="2" applyFont="1" applyFill="1" applyBorder="1" applyAlignment="1">
      <alignment horizontal="center" vertical="center"/>
    </xf>
    <xf numFmtId="41" fontId="41" fillId="7" borderId="50" xfId="2" applyFont="1" applyFill="1" applyBorder="1" applyAlignment="1">
      <alignment horizontal="center" vertical="center"/>
    </xf>
    <xf numFmtId="41" fontId="41" fillId="8" borderId="49" xfId="2" applyFont="1" applyFill="1" applyBorder="1" applyAlignment="1">
      <alignment horizontal="center" vertical="center"/>
    </xf>
    <xf numFmtId="41" fontId="41" fillId="7" borderId="22" xfId="2" applyFont="1" applyFill="1" applyBorder="1" applyAlignment="1">
      <alignment horizontal="center" vertical="center"/>
    </xf>
    <xf numFmtId="41" fontId="41" fillId="8" borderId="51" xfId="2" applyFont="1" applyFill="1" applyBorder="1" applyAlignment="1">
      <alignment horizontal="center" vertical="center"/>
    </xf>
    <xf numFmtId="41" fontId="41" fillId="7" borderId="20" xfId="2" applyFont="1" applyFill="1" applyBorder="1" applyAlignment="1">
      <alignment horizontal="center" vertical="center"/>
    </xf>
    <xf numFmtId="41" fontId="41" fillId="0" borderId="47" xfId="2" applyFont="1" applyBorder="1" applyAlignment="1">
      <alignment horizontal="center" vertical="center"/>
    </xf>
    <xf numFmtId="41" fontId="41" fillId="5" borderId="50" xfId="2" applyFont="1" applyFill="1" applyBorder="1" applyAlignment="1" applyProtection="1">
      <alignment horizontal="center" vertical="center"/>
      <protection locked="0"/>
    </xf>
    <xf numFmtId="41" fontId="41" fillId="6" borderId="21" xfId="2" applyFont="1" applyFill="1" applyBorder="1" applyAlignment="1" applyProtection="1">
      <alignment horizontal="center" vertical="center"/>
      <protection locked="0"/>
    </xf>
    <xf numFmtId="41" fontId="41" fillId="5" borderId="22" xfId="2" applyFont="1" applyFill="1" applyBorder="1" applyAlignment="1" applyProtection="1">
      <alignment horizontal="center" vertical="center"/>
      <protection locked="0"/>
    </xf>
    <xf numFmtId="41" fontId="41" fillId="6" borderId="23" xfId="2" applyFont="1" applyFill="1" applyBorder="1" applyAlignment="1" applyProtection="1">
      <alignment horizontal="center" vertical="center"/>
      <protection locked="0"/>
    </xf>
    <xf numFmtId="41" fontId="41" fillId="5" borderId="20" xfId="2" applyFont="1" applyFill="1" applyBorder="1" applyAlignment="1" applyProtection="1">
      <alignment horizontal="center" vertical="center"/>
      <protection locked="0"/>
    </xf>
    <xf numFmtId="41" fontId="41" fillId="12" borderId="47" xfId="2" applyFont="1" applyFill="1" applyBorder="1" applyAlignment="1">
      <alignment horizontal="center" vertical="center"/>
    </xf>
    <xf numFmtId="176" fontId="41" fillId="7" borderId="53" xfId="0" applyNumberFormat="1" applyFont="1" applyFill="1" applyBorder="1" applyAlignment="1">
      <alignment horizontal="center" vertical="center"/>
    </xf>
    <xf numFmtId="41" fontId="41" fillId="7" borderId="56" xfId="2" applyFont="1" applyFill="1" applyBorder="1" applyAlignment="1">
      <alignment horizontal="center" vertical="center"/>
    </xf>
    <xf numFmtId="176" fontId="41" fillId="2" borderId="14" xfId="0" applyNumberFormat="1" applyFont="1" applyFill="1" applyBorder="1" applyAlignment="1">
      <alignment horizontal="center" vertical="center"/>
    </xf>
    <xf numFmtId="41" fontId="41" fillId="15" borderId="13" xfId="2" applyFont="1" applyFill="1" applyBorder="1" applyAlignment="1">
      <alignment horizontal="center" vertical="center"/>
    </xf>
    <xf numFmtId="176" fontId="41" fillId="8" borderId="14" xfId="0" applyNumberFormat="1" applyFont="1" applyFill="1" applyBorder="1" applyAlignment="1">
      <alignment horizontal="center" vertical="center"/>
    </xf>
    <xf numFmtId="41" fontId="41" fillId="17" borderId="47" xfId="2" applyFont="1" applyFill="1" applyBorder="1" applyAlignment="1">
      <alignment horizontal="center" vertical="center"/>
    </xf>
    <xf numFmtId="41" fontId="41" fillId="5" borderId="86" xfId="2" applyFont="1" applyFill="1" applyBorder="1" applyAlignment="1" applyProtection="1">
      <alignment horizontal="center" vertical="center"/>
      <protection locked="0"/>
    </xf>
    <xf numFmtId="41" fontId="41" fillId="6" borderId="86" xfId="2" applyFont="1" applyFill="1" applyBorder="1" applyAlignment="1" applyProtection="1">
      <alignment horizontal="center" vertical="center"/>
      <protection locked="0"/>
    </xf>
    <xf numFmtId="41" fontId="41" fillId="7" borderId="83" xfId="2" applyFont="1" applyFill="1" applyBorder="1" applyAlignment="1">
      <alignment horizontal="center" vertical="center"/>
    </xf>
    <xf numFmtId="41" fontId="41" fillId="8" borderId="83" xfId="2" applyFont="1" applyFill="1" applyBorder="1" applyAlignment="1">
      <alignment horizontal="center" vertical="center"/>
    </xf>
    <xf numFmtId="41" fontId="41" fillId="5" borderId="50" xfId="2" applyFont="1" applyFill="1" applyBorder="1" applyAlignment="1">
      <alignment horizontal="center" vertical="center"/>
    </xf>
    <xf numFmtId="41" fontId="41" fillId="6" borderId="21" xfId="2" applyFont="1" applyFill="1" applyBorder="1" applyAlignment="1">
      <alignment horizontal="center" vertical="center"/>
    </xf>
    <xf numFmtId="41" fontId="41" fillId="5" borderId="22" xfId="2" applyFont="1" applyFill="1" applyBorder="1" applyAlignment="1">
      <alignment horizontal="center" vertical="center"/>
    </xf>
    <xf numFmtId="41" fontId="41" fillId="6" borderId="23" xfId="2" applyFont="1" applyFill="1" applyBorder="1" applyAlignment="1">
      <alignment horizontal="center" vertical="center"/>
    </xf>
    <xf numFmtId="41" fontId="41" fillId="5" borderId="20" xfId="2" applyFont="1" applyFill="1" applyBorder="1" applyAlignment="1">
      <alignment horizontal="center" vertical="center"/>
    </xf>
    <xf numFmtId="41" fontId="41" fillId="5" borderId="83" xfId="2" applyFont="1" applyFill="1" applyBorder="1" applyAlignment="1">
      <alignment horizontal="center" vertical="center"/>
    </xf>
    <xf numFmtId="41" fontId="41" fillId="6" borderId="83" xfId="2" applyFont="1" applyFill="1" applyBorder="1" applyAlignment="1">
      <alignment horizontal="center" vertical="center"/>
    </xf>
    <xf numFmtId="41" fontId="41" fillId="5" borderId="62" xfId="2" applyFont="1" applyFill="1" applyBorder="1" applyAlignment="1">
      <alignment horizontal="center" vertical="center"/>
    </xf>
    <xf numFmtId="41" fontId="41" fillId="6" borderId="59" xfId="2" applyFont="1" applyFill="1" applyBorder="1" applyAlignment="1">
      <alignment horizontal="center" vertical="center"/>
    </xf>
    <xf numFmtId="41" fontId="41" fillId="5" borderId="63" xfId="2" applyFont="1" applyFill="1" applyBorder="1" applyAlignment="1">
      <alignment horizontal="center" vertical="center"/>
    </xf>
    <xf numFmtId="41" fontId="41" fillId="6" borderId="64" xfId="2" applyFont="1" applyFill="1" applyBorder="1" applyAlignment="1">
      <alignment horizontal="center" vertical="center"/>
    </xf>
    <xf numFmtId="41" fontId="41" fillId="5" borderId="65" xfId="2" applyFont="1" applyFill="1" applyBorder="1" applyAlignment="1">
      <alignment horizontal="center" vertical="center"/>
    </xf>
    <xf numFmtId="41" fontId="41" fillId="5" borderId="107" xfId="2" applyFont="1" applyFill="1" applyBorder="1" applyAlignment="1">
      <alignment horizontal="center" vertical="center"/>
    </xf>
    <xf numFmtId="41" fontId="41" fillId="6" borderId="107" xfId="2" applyFont="1" applyFill="1" applyBorder="1" applyAlignment="1">
      <alignment horizontal="center" vertical="center"/>
    </xf>
    <xf numFmtId="176" fontId="41" fillId="7" borderId="119" xfId="0" applyNumberFormat="1" applyFont="1" applyFill="1" applyBorder="1" applyAlignment="1">
      <alignment horizontal="center" vertical="center"/>
    </xf>
    <xf numFmtId="41" fontId="41" fillId="16" borderId="47" xfId="2" applyFont="1" applyFill="1" applyBorder="1" applyAlignment="1">
      <alignment horizontal="center" vertical="center"/>
    </xf>
    <xf numFmtId="41" fontId="41" fillId="7" borderId="1" xfId="2" applyFont="1" applyFill="1" applyBorder="1" applyAlignment="1">
      <alignment horizontal="center" vertical="center"/>
    </xf>
    <xf numFmtId="41" fontId="41" fillId="8" borderId="39" xfId="2" applyFont="1" applyFill="1" applyBorder="1" applyAlignment="1">
      <alignment horizontal="center" vertical="center"/>
    </xf>
    <xf numFmtId="41" fontId="41" fillId="7" borderId="6" xfId="2" applyFont="1" applyFill="1" applyBorder="1" applyAlignment="1">
      <alignment horizontal="center" vertical="center"/>
    </xf>
    <xf numFmtId="41" fontId="41" fillId="8" borderId="52" xfId="2" applyFont="1" applyFill="1" applyBorder="1" applyAlignment="1">
      <alignment horizontal="center" vertical="center"/>
    </xf>
    <xf numFmtId="41" fontId="41" fillId="7" borderId="4" xfId="2" applyFont="1" applyFill="1" applyBorder="1" applyAlignment="1">
      <alignment horizontal="center" vertical="center"/>
    </xf>
    <xf numFmtId="41" fontId="41" fillId="7" borderId="38" xfId="2" applyFont="1" applyFill="1" applyBorder="1" applyAlignment="1">
      <alignment horizontal="center" vertical="center"/>
    </xf>
    <xf numFmtId="41" fontId="41" fillId="8" borderId="38" xfId="2" applyFont="1" applyFill="1" applyBorder="1" applyAlignment="1">
      <alignment horizontal="center" vertical="center"/>
    </xf>
    <xf numFmtId="38" fontId="41" fillId="7" borderId="121" xfId="0" applyNumberFormat="1" applyFont="1" applyFill="1" applyBorder="1">
      <alignment vertical="center"/>
    </xf>
    <xf numFmtId="38" fontId="41" fillId="7" borderId="122" xfId="2" applyNumberFormat="1" applyFont="1" applyFill="1" applyBorder="1">
      <alignment vertical="center"/>
    </xf>
    <xf numFmtId="38" fontId="41" fillId="8" borderId="25" xfId="0" applyNumberFormat="1" applyFont="1" applyFill="1" applyBorder="1" applyAlignment="1">
      <alignment horizontal="center" vertical="center"/>
    </xf>
    <xf numFmtId="38" fontId="41" fillId="8" borderId="26" xfId="2" applyNumberFormat="1" applyFont="1" applyFill="1" applyBorder="1" applyAlignment="1">
      <alignment horizontal="right" vertical="center"/>
    </xf>
    <xf numFmtId="41" fontId="41" fillId="7" borderId="27" xfId="2" applyFont="1" applyFill="1" applyBorder="1" applyAlignment="1">
      <alignment horizontal="right" vertical="center"/>
    </xf>
    <xf numFmtId="41" fontId="41" fillId="8" borderId="68" xfId="2" applyFont="1" applyFill="1" applyBorder="1" applyAlignment="1">
      <alignment horizontal="right" vertical="center"/>
    </xf>
    <xf numFmtId="41" fontId="41" fillId="7" borderId="69" xfId="2" applyFont="1" applyFill="1" applyBorder="1" applyAlignment="1">
      <alignment horizontal="right" vertical="center"/>
    </xf>
    <xf numFmtId="41" fontId="41" fillId="8" borderId="70" xfId="2" applyFont="1" applyFill="1" applyBorder="1" applyAlignment="1">
      <alignment horizontal="right" vertical="center"/>
    </xf>
    <xf numFmtId="41" fontId="41" fillId="7" borderId="71" xfId="2" applyFont="1" applyFill="1" applyBorder="1" applyAlignment="1">
      <alignment horizontal="right" vertical="center"/>
    </xf>
    <xf numFmtId="41" fontId="41" fillId="7" borderId="109" xfId="2" applyFont="1" applyFill="1" applyBorder="1" applyAlignment="1">
      <alignment horizontal="right" vertical="center"/>
    </xf>
    <xf numFmtId="41" fontId="41" fillId="8" borderId="109" xfId="2" applyFont="1" applyFill="1" applyBorder="1" applyAlignment="1">
      <alignment horizontal="right" vertical="center"/>
    </xf>
    <xf numFmtId="9" fontId="41" fillId="7" borderId="45" xfId="1" applyFont="1" applyFill="1" applyBorder="1">
      <alignment vertical="center"/>
    </xf>
    <xf numFmtId="9" fontId="41" fillId="7" borderId="13" xfId="1" applyFont="1" applyFill="1" applyBorder="1">
      <alignment vertical="center"/>
    </xf>
    <xf numFmtId="9" fontId="41" fillId="8" borderId="21" xfId="1" applyFont="1" applyFill="1" applyBorder="1" applyAlignment="1">
      <alignment horizontal="center" vertical="center"/>
    </xf>
    <xf numFmtId="9" fontId="41" fillId="8" borderId="48" xfId="1" applyFont="1" applyFill="1" applyBorder="1" applyAlignment="1">
      <alignment horizontal="right" vertical="center"/>
    </xf>
    <xf numFmtId="9" fontId="41" fillId="7" borderId="50" xfId="1" applyFont="1" applyFill="1" applyBorder="1" applyAlignment="1">
      <alignment horizontal="right" vertical="center"/>
    </xf>
    <xf numFmtId="9" fontId="41" fillId="8" borderId="23" xfId="1" applyFont="1" applyFill="1" applyBorder="1" applyAlignment="1">
      <alignment horizontal="right" vertical="center"/>
    </xf>
    <xf numFmtId="9" fontId="41" fillId="7" borderId="22" xfId="1" applyFont="1" applyFill="1" applyBorder="1" applyAlignment="1">
      <alignment horizontal="right" vertical="center"/>
    </xf>
    <xf numFmtId="9" fontId="41" fillId="16" borderId="22" xfId="1" applyFont="1" applyFill="1" applyBorder="1" applyAlignment="1">
      <alignment horizontal="right" vertical="center"/>
    </xf>
    <xf numFmtId="9" fontId="41" fillId="7" borderId="83" xfId="1" applyFont="1" applyFill="1" applyBorder="1" applyAlignment="1">
      <alignment horizontal="right" vertical="center"/>
    </xf>
    <xf numFmtId="9" fontId="41" fillId="8" borderId="83" xfId="1" applyFont="1" applyFill="1" applyBorder="1" applyAlignment="1">
      <alignment horizontal="right" vertical="center"/>
    </xf>
    <xf numFmtId="176" fontId="41" fillId="7" borderId="32" xfId="0" applyNumberFormat="1" applyFont="1" applyFill="1" applyBorder="1">
      <alignment vertical="center"/>
    </xf>
    <xf numFmtId="9" fontId="41" fillId="7" borderId="33" xfId="2" applyNumberFormat="1" applyFont="1" applyFill="1" applyBorder="1">
      <alignment vertical="center"/>
    </xf>
    <xf numFmtId="176" fontId="41" fillId="8" borderId="5" xfId="0" applyNumberFormat="1" applyFont="1" applyFill="1" applyBorder="1" applyAlignment="1">
      <alignment horizontal="center" vertical="center"/>
    </xf>
    <xf numFmtId="41" fontId="41" fillId="8" borderId="34" xfId="2" applyFont="1" applyFill="1" applyBorder="1" applyAlignment="1">
      <alignment horizontal="right" vertical="center"/>
    </xf>
    <xf numFmtId="41" fontId="41" fillId="7" borderId="35" xfId="2" applyFont="1" applyFill="1" applyBorder="1" applyAlignment="1">
      <alignment horizontal="center" vertical="center"/>
    </xf>
    <xf numFmtId="41" fontId="41" fillId="8" borderId="42" xfId="2" applyFont="1" applyFill="1" applyBorder="1" applyAlignment="1">
      <alignment horizontal="center" vertical="center"/>
    </xf>
    <xf numFmtId="41" fontId="41" fillId="7" borderId="77" xfId="2" applyFont="1" applyFill="1" applyBorder="1" applyAlignment="1">
      <alignment horizontal="center" vertical="center"/>
    </xf>
    <xf numFmtId="41" fontId="41" fillId="8" borderId="78" xfId="2" applyFont="1" applyFill="1" applyBorder="1" applyAlignment="1">
      <alignment horizontal="center" vertical="center"/>
    </xf>
    <xf numFmtId="41" fontId="41" fillId="7" borderId="41" xfId="2" applyFont="1" applyFill="1" applyBorder="1" applyAlignment="1">
      <alignment horizontal="center" vertical="center"/>
    </xf>
    <xf numFmtId="41" fontId="41" fillId="7" borderId="111" xfId="2" applyFont="1" applyFill="1" applyBorder="1" applyAlignment="1">
      <alignment horizontal="center" vertical="center"/>
    </xf>
    <xf numFmtId="41" fontId="41" fillId="8" borderId="111" xfId="2" applyFont="1" applyFill="1" applyBorder="1" applyAlignment="1">
      <alignment horizontal="center" vertical="center"/>
    </xf>
    <xf numFmtId="196" fontId="43" fillId="14" borderId="113" xfId="43" applyNumberFormat="1" applyFont="1" applyFill="1" applyBorder="1" applyAlignment="1">
      <alignment vertical="center"/>
    </xf>
    <xf numFmtId="0" fontId="43" fillId="13" borderId="114" xfId="43" applyFont="1" applyFill="1" applyBorder="1" applyAlignment="1">
      <alignment vertical="center"/>
    </xf>
    <xf numFmtId="0" fontId="45" fillId="2" borderId="0" xfId="0" applyFont="1" applyFill="1">
      <alignment vertical="center"/>
    </xf>
    <xf numFmtId="0" fontId="45" fillId="2" borderId="0" xfId="0" applyFont="1" applyFill="1" applyAlignment="1">
      <alignment horizontal="center" vertical="center"/>
    </xf>
    <xf numFmtId="0" fontId="45" fillId="2" borderId="0" xfId="0" applyFont="1" applyFill="1" applyAlignment="1">
      <alignment horizontal="right" vertical="center"/>
    </xf>
    <xf numFmtId="196" fontId="43" fillId="15" borderId="113" xfId="43" applyNumberFormat="1" applyFont="1" applyFill="1" applyBorder="1" applyAlignment="1">
      <alignment horizontal="center" vertical="center"/>
    </xf>
    <xf numFmtId="0" fontId="43" fillId="15" borderId="113" xfId="43" applyFont="1" applyFill="1" applyBorder="1" applyAlignment="1">
      <alignment horizontal="center" vertical="center"/>
    </xf>
    <xf numFmtId="41" fontId="46" fillId="15" borderId="113" xfId="2" applyFont="1" applyFill="1" applyBorder="1" applyAlignment="1">
      <alignment horizontal="center" vertical="center"/>
    </xf>
    <xf numFmtId="0" fontId="41" fillId="2" borderId="0" xfId="0" applyFont="1" applyFill="1">
      <alignment vertical="center"/>
    </xf>
    <xf numFmtId="0" fontId="41" fillId="2" borderId="0" xfId="0" applyFont="1" applyFill="1" applyAlignment="1">
      <alignment horizontal="center" vertical="center"/>
    </xf>
    <xf numFmtId="41" fontId="41" fillId="2" borderId="0" xfId="0" applyNumberFormat="1" applyFont="1" applyFill="1">
      <alignment vertical="center"/>
    </xf>
    <xf numFmtId="0" fontId="47" fillId="2" borderId="0" xfId="0" applyFont="1" applyFill="1">
      <alignment vertical="center"/>
    </xf>
    <xf numFmtId="3" fontId="41" fillId="2" borderId="0" xfId="0" applyNumberFormat="1" applyFont="1" applyFill="1">
      <alignment vertical="center"/>
    </xf>
    <xf numFmtId="43" fontId="4" fillId="2" borderId="0" xfId="0" applyNumberFormat="1" applyFont="1" applyFill="1" applyAlignment="1">
      <alignment horizontal="center" vertical="center"/>
    </xf>
    <xf numFmtId="0" fontId="1" fillId="0" borderId="0" xfId="46">
      <alignment vertical="center"/>
    </xf>
    <xf numFmtId="0" fontId="12" fillId="0" borderId="0" xfId="46" applyFont="1" applyAlignment="1">
      <alignment vertical="center" wrapText="1"/>
    </xf>
    <xf numFmtId="0" fontId="12" fillId="0" borderId="0" xfId="46" applyFont="1">
      <alignment vertical="center"/>
    </xf>
    <xf numFmtId="0" fontId="56" fillId="0" borderId="118" xfId="46" applyFont="1" applyBorder="1" applyAlignment="1">
      <alignment horizontal="center" vertical="center"/>
    </xf>
    <xf numFmtId="0" fontId="37" fillId="19" borderId="113" xfId="46" applyFont="1" applyFill="1" applyBorder="1" applyAlignment="1">
      <alignment horizontal="center" vertical="center" wrapText="1"/>
    </xf>
    <xf numFmtId="0" fontId="37" fillId="0" borderId="113" xfId="46" applyFont="1" applyBorder="1" applyAlignment="1">
      <alignment horizontal="center" vertical="center" wrapText="1"/>
    </xf>
    <xf numFmtId="0" fontId="37" fillId="0" borderId="113" xfId="46" applyFont="1" applyBorder="1" applyAlignment="1">
      <alignment horizontal="left" vertical="center" wrapText="1"/>
    </xf>
    <xf numFmtId="0" fontId="12" fillId="0" borderId="0" xfId="46" applyFont="1" applyAlignment="1">
      <alignment horizontal="center" vertical="center"/>
    </xf>
    <xf numFmtId="0" fontId="58" fillId="0" borderId="113" xfId="46" applyFont="1" applyBorder="1" applyAlignment="1">
      <alignment horizontal="center" vertical="center" wrapText="1"/>
    </xf>
    <xf numFmtId="0" fontId="37" fillId="14" borderId="113" xfId="46" applyFont="1" applyFill="1" applyBorder="1" applyAlignment="1">
      <alignment horizontal="center" vertical="center" wrapText="1"/>
    </xf>
    <xf numFmtId="0" fontId="58" fillId="14" borderId="113" xfId="46" applyFont="1" applyFill="1" applyBorder="1" applyAlignment="1">
      <alignment horizontal="center" vertical="center" wrapText="1"/>
    </xf>
    <xf numFmtId="0" fontId="4" fillId="21" borderId="50" xfId="0" applyFont="1" applyFill="1" applyBorder="1" applyAlignment="1">
      <alignment horizontal="center" vertical="center"/>
    </xf>
    <xf numFmtId="180" fontId="5" fillId="3" borderId="20" xfId="0" applyNumberFormat="1" applyFont="1" applyFill="1" applyBorder="1" applyAlignment="1">
      <alignment horizontal="center" vertical="center"/>
    </xf>
    <xf numFmtId="180" fontId="5" fillId="3" borderId="21" xfId="0" applyNumberFormat="1" applyFont="1" applyFill="1" applyBorder="1" applyAlignment="1">
      <alignment horizontal="center" vertical="center"/>
    </xf>
    <xf numFmtId="0" fontId="42" fillId="13" borderId="113" xfId="43" applyFont="1" applyFill="1" applyBorder="1" applyAlignment="1">
      <alignment horizontal="left" vertical="center"/>
    </xf>
    <xf numFmtId="41" fontId="43" fillId="14" borderId="113" xfId="42" applyNumberFormat="1" applyFont="1" applyFill="1" applyBorder="1" applyAlignment="1">
      <alignment horizontal="center" vertical="center"/>
    </xf>
    <xf numFmtId="41" fontId="43" fillId="15" borderId="113" xfId="42" applyNumberFormat="1" applyFont="1" applyFill="1" applyBorder="1" applyAlignment="1">
      <alignment horizontal="center" vertical="center"/>
    </xf>
    <xf numFmtId="0" fontId="42" fillId="13" borderId="115" xfId="43" applyFont="1" applyFill="1" applyBorder="1" applyAlignment="1">
      <alignment horizontal="left" vertical="center"/>
    </xf>
    <xf numFmtId="0" fontId="42" fillId="13" borderId="73" xfId="43" applyFont="1" applyFill="1" applyBorder="1" applyAlignment="1">
      <alignment horizontal="left" vertical="center"/>
    </xf>
    <xf numFmtId="0" fontId="42" fillId="13" borderId="114" xfId="43" applyFont="1" applyFill="1" applyBorder="1" applyAlignment="1">
      <alignment horizontal="left" vertical="center"/>
    </xf>
    <xf numFmtId="41" fontId="44" fillId="15" borderId="113" xfId="42" applyNumberFormat="1" applyFont="1" applyFill="1" applyBorder="1" applyAlignment="1">
      <alignment horizontal="center" vertical="center"/>
    </xf>
    <xf numFmtId="0" fontId="44" fillId="13" borderId="115" xfId="43" applyFont="1" applyFill="1" applyBorder="1" applyAlignment="1">
      <alignment horizontal="left" vertical="center"/>
    </xf>
    <xf numFmtId="0" fontId="44" fillId="13" borderId="73" xfId="43" applyFont="1" applyFill="1" applyBorder="1" applyAlignment="1">
      <alignment horizontal="left" vertical="center"/>
    </xf>
    <xf numFmtId="41" fontId="44" fillId="14" borderId="113" xfId="42" applyNumberFormat="1" applyFont="1" applyFill="1" applyBorder="1" applyAlignment="1">
      <alignment horizontal="center" vertical="center"/>
    </xf>
    <xf numFmtId="41" fontId="34" fillId="2" borderId="113" xfId="0" applyNumberFormat="1" applyFont="1" applyFill="1" applyBorder="1" applyAlignment="1">
      <alignment horizontal="center" vertical="center"/>
    </xf>
    <xf numFmtId="180" fontId="5" fillId="3" borderId="83" xfId="0" applyNumberFormat="1" applyFont="1" applyFill="1" applyBorder="1" applyAlignment="1">
      <alignment horizontal="center" vertical="center"/>
    </xf>
    <xf numFmtId="180" fontId="5" fillId="3" borderId="84" xfId="0" applyNumberFormat="1" applyFont="1" applyFill="1" applyBorder="1" applyAlignment="1">
      <alignment horizontal="center" vertical="center"/>
    </xf>
    <xf numFmtId="0" fontId="5" fillId="3" borderId="24" xfId="0" applyFont="1" applyFill="1" applyBorder="1" applyAlignment="1">
      <alignment horizontal="center" vertical="center"/>
    </xf>
    <xf numFmtId="0" fontId="5" fillId="3" borderId="25" xfId="0" applyFont="1" applyFill="1" applyBorder="1" applyAlignment="1">
      <alignment horizontal="center" vertical="center"/>
    </xf>
    <xf numFmtId="0" fontId="5" fillId="3" borderId="26" xfId="0" applyFont="1" applyFill="1" applyBorder="1" applyAlignment="1">
      <alignment horizontal="center" vertical="center"/>
    </xf>
    <xf numFmtId="0" fontId="5" fillId="3" borderId="45" xfId="0" applyFont="1" applyFill="1" applyBorder="1" applyAlignment="1">
      <alignment horizontal="center" vertical="center"/>
    </xf>
    <xf numFmtId="0" fontId="5" fillId="3" borderId="46" xfId="0" applyFont="1" applyFill="1" applyBorder="1" applyAlignment="1">
      <alignment horizontal="center" vertical="center"/>
    </xf>
    <xf numFmtId="0" fontId="5" fillId="3" borderId="47" xfId="0" applyFont="1" applyFill="1" applyBorder="1" applyAlignment="1">
      <alignment horizontal="center" vertical="center"/>
    </xf>
    <xf numFmtId="0" fontId="5" fillId="3" borderId="79"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180" fontId="5" fillId="3" borderId="50" xfId="0" applyNumberFormat="1" applyFont="1" applyFill="1" applyBorder="1" applyAlignment="1">
      <alignment horizontal="center" vertical="center"/>
    </xf>
    <xf numFmtId="180" fontId="5" fillId="3" borderId="22" xfId="0" applyNumberFormat="1" applyFont="1" applyFill="1" applyBorder="1" applyAlignment="1">
      <alignment horizontal="center" vertical="center"/>
    </xf>
    <xf numFmtId="180" fontId="5" fillId="3" borderId="23" xfId="0" applyNumberFormat="1" applyFont="1" applyFill="1" applyBorder="1" applyAlignment="1">
      <alignment horizontal="center" vertical="center"/>
    </xf>
    <xf numFmtId="180" fontId="5" fillId="3" borderId="82" xfId="0" applyNumberFormat="1" applyFont="1" applyFill="1" applyBorder="1" applyAlignment="1">
      <alignment horizontal="center" vertical="center"/>
    </xf>
    <xf numFmtId="180" fontId="5" fillId="3" borderId="51" xfId="0" applyNumberFormat="1" applyFont="1" applyFill="1" applyBorder="1" applyAlignment="1">
      <alignment horizontal="center" vertical="center"/>
    </xf>
    <xf numFmtId="180" fontId="5" fillId="3" borderId="74" xfId="0" applyNumberFormat="1" applyFont="1" applyFill="1" applyBorder="1" applyAlignment="1">
      <alignment horizontal="center" vertical="center"/>
    </xf>
    <xf numFmtId="0" fontId="4" fillId="4" borderId="31" xfId="0" applyFont="1" applyFill="1" applyBorder="1" applyAlignment="1" applyProtection="1">
      <alignment horizontal="left" vertical="center"/>
      <protection locked="0"/>
    </xf>
    <xf numFmtId="0" fontId="4" fillId="4" borderId="43" xfId="0" applyFont="1" applyFill="1" applyBorder="1" applyAlignment="1" applyProtection="1">
      <alignment horizontal="left" vertical="center"/>
      <protection locked="0"/>
    </xf>
    <xf numFmtId="0" fontId="4" fillId="4" borderId="44" xfId="0" applyFont="1" applyFill="1" applyBorder="1" applyAlignment="1" applyProtection="1">
      <alignment horizontal="left" vertical="center"/>
      <protection locked="0"/>
    </xf>
    <xf numFmtId="0" fontId="4" fillId="4" borderId="21" xfId="0" applyFont="1" applyFill="1" applyBorder="1" applyAlignment="1" applyProtection="1">
      <alignment horizontal="left" vertical="center"/>
      <protection locked="0"/>
    </xf>
    <xf numFmtId="0" fontId="4" fillId="4" borderId="49" xfId="0" applyFont="1" applyFill="1" applyBorder="1" applyAlignment="1" applyProtection="1">
      <alignment horizontal="left" vertical="center"/>
      <protection locked="0"/>
    </xf>
    <xf numFmtId="0" fontId="4" fillId="4" borderId="48" xfId="0" applyFont="1" applyFill="1" applyBorder="1" applyAlignment="1" applyProtection="1">
      <alignment horizontal="left" vertical="center"/>
      <protection locked="0"/>
    </xf>
    <xf numFmtId="0" fontId="5" fillId="3" borderId="50"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180" fontId="5" fillId="3" borderId="74" xfId="0" applyNumberFormat="1" applyFont="1" applyFill="1" applyBorder="1" applyAlignment="1" applyProtection="1">
      <alignment horizontal="center" vertical="center"/>
      <protection locked="0"/>
    </xf>
    <xf numFmtId="180" fontId="5" fillId="3" borderId="51" xfId="0" applyNumberFormat="1" applyFont="1" applyFill="1" applyBorder="1" applyAlignment="1" applyProtection="1">
      <alignment horizontal="center" vertical="center"/>
      <protection locked="0"/>
    </xf>
    <xf numFmtId="0" fontId="34" fillId="11" borderId="0" xfId="44" applyFont="1" applyFill="1" applyAlignment="1">
      <alignment horizontal="center" vertical="center"/>
    </xf>
    <xf numFmtId="0" fontId="34" fillId="11" borderId="0" xfId="44" applyFont="1" applyFill="1" applyAlignment="1">
      <alignment horizontal="left" vertical="center" wrapText="1"/>
    </xf>
    <xf numFmtId="0" fontId="37" fillId="18" borderId="123" xfId="44" applyFont="1" applyFill="1" applyBorder="1" applyAlignment="1">
      <alignment horizontal="center" vertical="center" wrapText="1"/>
    </xf>
    <xf numFmtId="0" fontId="37" fillId="18" borderId="127" xfId="44" applyFont="1" applyFill="1" applyBorder="1" applyAlignment="1">
      <alignment horizontal="center" vertical="center" wrapText="1"/>
    </xf>
    <xf numFmtId="0" fontId="37" fillId="18" borderId="124" xfId="44" applyFont="1" applyFill="1" applyBorder="1" applyAlignment="1">
      <alignment horizontal="center" vertical="center" wrapText="1"/>
    </xf>
    <xf numFmtId="0" fontId="37" fillId="18" borderId="125" xfId="44" applyFont="1" applyFill="1" applyBorder="1" applyAlignment="1">
      <alignment horizontal="center" vertical="center" wrapText="1"/>
    </xf>
    <xf numFmtId="0" fontId="37" fillId="18" borderId="126" xfId="44" applyFont="1" applyFill="1" applyBorder="1" applyAlignment="1">
      <alignment horizontal="center" vertical="center" wrapText="1"/>
    </xf>
    <xf numFmtId="0" fontId="55" fillId="0" borderId="0" xfId="46" applyFont="1" applyAlignment="1">
      <alignment horizontal="center" vertical="center"/>
    </xf>
    <xf numFmtId="0" fontId="39" fillId="0" borderId="0" xfId="44" applyFont="1" applyAlignment="1">
      <alignment horizontal="center" vertical="center"/>
    </xf>
    <xf numFmtId="0" fontId="32" fillId="0" borderId="0" xfId="44" applyFont="1" applyAlignment="1">
      <alignment horizontal="center" vertical="center"/>
    </xf>
    <xf numFmtId="0" fontId="34" fillId="0" borderId="0" xfId="44" applyFont="1" applyAlignment="1">
      <alignment horizontal="left" vertical="center" wrapText="1"/>
    </xf>
    <xf numFmtId="0" fontId="36" fillId="0" borderId="0" xfId="44" applyFont="1" applyAlignment="1">
      <alignment horizontal="left" vertical="center" wrapText="1"/>
    </xf>
    <xf numFmtId="0" fontId="36" fillId="0" borderId="0" xfId="44" applyFont="1" applyAlignment="1">
      <alignment horizontal="center" vertical="center" wrapText="1"/>
    </xf>
    <xf numFmtId="31" fontId="38" fillId="0" borderId="0" xfId="44" applyNumberFormat="1" applyFont="1" applyAlignment="1">
      <alignment horizontal="center" vertical="center"/>
    </xf>
    <xf numFmtId="0" fontId="31" fillId="0" borderId="0" xfId="44" applyAlignment="1">
      <alignment horizontal="left" vertical="center" wrapText="1"/>
    </xf>
    <xf numFmtId="0" fontId="48" fillId="0" borderId="0" xfId="0" applyFont="1" applyAlignment="1">
      <alignment horizontal="center" vertical="center"/>
    </xf>
    <xf numFmtId="0" fontId="49" fillId="0" borderId="0" xfId="0" applyFont="1">
      <alignment vertical="center"/>
    </xf>
    <xf numFmtId="0" fontId="12" fillId="0" borderId="0" xfId="0" applyFont="1" applyAlignment="1">
      <alignment horizontal="left" vertical="center" wrapText="1" indent="1"/>
    </xf>
    <xf numFmtId="0" fontId="12" fillId="0" borderId="0" xfId="0" applyFont="1" applyAlignment="1">
      <alignment vertical="center" wrapText="1"/>
    </xf>
    <xf numFmtId="0" fontId="12" fillId="0" borderId="0" xfId="0" applyFont="1">
      <alignment vertical="center"/>
    </xf>
    <xf numFmtId="0" fontId="50" fillId="0" borderId="0" xfId="0" applyFont="1" applyAlignment="1">
      <alignment horizontal="center" vertical="center" wrapText="1"/>
    </xf>
    <xf numFmtId="0" fontId="12" fillId="0" borderId="0" xfId="0" applyFont="1" applyAlignment="1">
      <alignment horizontal="right" vertical="center"/>
    </xf>
    <xf numFmtId="0" fontId="63" fillId="18" borderId="140" xfId="0" applyFont="1" applyFill="1" applyBorder="1" applyAlignment="1">
      <alignment horizontal="center" vertical="center" wrapText="1"/>
    </xf>
    <xf numFmtId="0" fontId="63" fillId="18" borderId="141" xfId="0" applyFont="1" applyFill="1" applyBorder="1" applyAlignment="1">
      <alignment horizontal="center" vertical="center" wrapText="1"/>
    </xf>
    <xf numFmtId="0" fontId="63" fillId="18" borderId="142" xfId="0" applyFont="1" applyFill="1" applyBorder="1" applyAlignment="1">
      <alignment horizontal="center" vertical="center" wrapText="1"/>
    </xf>
    <xf numFmtId="0" fontId="51" fillId="0" borderId="143" xfId="0" applyFont="1" applyBorder="1" applyAlignment="1">
      <alignment horizontal="left" vertical="center" wrapText="1"/>
    </xf>
    <xf numFmtId="3" fontId="51" fillId="0" borderId="144" xfId="0" applyNumberFormat="1" applyFont="1" applyBorder="1" applyAlignment="1">
      <alignment horizontal="right" vertical="center" wrapText="1"/>
    </xf>
    <xf numFmtId="3" fontId="51" fillId="0" borderId="145" xfId="0" applyNumberFormat="1" applyFont="1" applyBorder="1" applyAlignment="1">
      <alignment horizontal="right" vertical="center" wrapText="1"/>
    </xf>
    <xf numFmtId="0" fontId="51" fillId="0" borderId="146" xfId="0" applyFont="1" applyBorder="1" applyAlignment="1">
      <alignment horizontal="left" vertical="center" wrapText="1"/>
    </xf>
    <xf numFmtId="3" fontId="51" fillId="0" borderId="147" xfId="0" applyNumberFormat="1" applyFont="1" applyBorder="1" applyAlignment="1">
      <alignment horizontal="right" vertical="center" wrapText="1"/>
    </xf>
    <xf numFmtId="3" fontId="51" fillId="0" borderId="148" xfId="0" applyNumberFormat="1" applyFont="1" applyBorder="1" applyAlignment="1">
      <alignment horizontal="right" vertical="center" wrapText="1"/>
    </xf>
    <xf numFmtId="0" fontId="51" fillId="0" borderId="149" xfId="0" applyFont="1" applyBorder="1" applyAlignment="1">
      <alignment horizontal="left" vertical="center" wrapText="1"/>
    </xf>
    <xf numFmtId="3" fontId="51" fillId="0" borderId="150" xfId="0" applyNumberFormat="1" applyFont="1" applyBorder="1" applyAlignment="1">
      <alignment horizontal="right" vertical="center" wrapText="1"/>
    </xf>
    <xf numFmtId="3" fontId="51" fillId="0" borderId="151" xfId="0" applyNumberFormat="1" applyFont="1" applyBorder="1" applyAlignment="1">
      <alignment horizontal="right" vertical="center" wrapText="1"/>
    </xf>
    <xf numFmtId="0" fontId="34" fillId="0" borderId="0" xfId="0" applyFont="1" applyAlignment="1">
      <alignment horizontal="left" vertical="center" wrapText="1"/>
    </xf>
    <xf numFmtId="0" fontId="52" fillId="0" borderId="0" xfId="0" applyFont="1">
      <alignment vertical="center"/>
    </xf>
    <xf numFmtId="31" fontId="53" fillId="0" borderId="0" xfId="0" applyNumberFormat="1" applyFont="1" applyAlignment="1">
      <alignment horizontal="center" vertical="center"/>
    </xf>
    <xf numFmtId="0" fontId="54" fillId="0" borderId="0" xfId="0" applyFont="1" applyAlignment="1">
      <alignment horizontal="center" vertical="center"/>
    </xf>
    <xf numFmtId="0" fontId="59" fillId="0" borderId="0" xfId="0" applyFont="1" applyAlignment="1">
      <alignment horizontal="center" vertical="center" shrinkToFit="1"/>
    </xf>
    <xf numFmtId="0" fontId="60" fillId="0" borderId="0" xfId="0" applyFont="1">
      <alignment vertical="center"/>
    </xf>
    <xf numFmtId="0" fontId="61" fillId="18" borderId="128" xfId="0" applyFont="1" applyFill="1" applyBorder="1" applyAlignment="1">
      <alignment horizontal="center" vertical="center" wrapText="1"/>
    </xf>
    <xf numFmtId="0" fontId="61" fillId="18" borderId="128" xfId="0" applyFont="1" applyFill="1" applyBorder="1" applyAlignment="1">
      <alignment horizontal="center" vertical="center" wrapText="1"/>
    </xf>
    <xf numFmtId="0" fontId="51" fillId="0" borderId="137" xfId="0" applyFont="1" applyBorder="1" applyAlignment="1">
      <alignment horizontal="left" vertical="center" wrapText="1"/>
    </xf>
    <xf numFmtId="3" fontId="51" fillId="0" borderId="137" xfId="0" applyNumberFormat="1" applyFont="1" applyBorder="1" applyAlignment="1">
      <alignment horizontal="right" vertical="center" wrapText="1"/>
    </xf>
    <xf numFmtId="0" fontId="51" fillId="0" borderId="138" xfId="0" applyFont="1" applyBorder="1" applyAlignment="1">
      <alignment horizontal="left" vertical="center" wrapText="1"/>
    </xf>
    <xf numFmtId="3" fontId="51" fillId="0" borderId="138" xfId="0" applyNumberFormat="1" applyFont="1" applyBorder="1" applyAlignment="1">
      <alignment horizontal="right" vertical="center" wrapText="1"/>
    </xf>
    <xf numFmtId="0" fontId="51" fillId="0" borderId="139" xfId="0" applyFont="1" applyBorder="1" applyAlignment="1">
      <alignment horizontal="left" vertical="center" wrapText="1"/>
    </xf>
    <xf numFmtId="3" fontId="51" fillId="0" borderId="139" xfId="0" applyNumberFormat="1" applyFont="1" applyBorder="1" applyAlignment="1">
      <alignment horizontal="right" vertical="center" wrapText="1"/>
    </xf>
  </cellXfs>
  <cellStyles count="47">
    <cellStyle name="_견적서_OK캐쉬백개편_v01" xfId="4" xr:uid="{00000000-0005-0000-0000-000000000000}"/>
    <cellStyle name="_네이트인력구성_20040720" xfId="5" xr:uid="{00000000-0005-0000-0000-000001000000}"/>
    <cellStyle name="_노임단가산정표(2005년)" xfId="6" xr:uid="{00000000-0005-0000-0000-000002000000}"/>
    <cellStyle name="_인터 이민석_0502_ML370" xfId="7" xr:uid="{00000000-0005-0000-0000-000003000000}"/>
    <cellStyle name="Calc Currency (0)" xfId="8" xr:uid="{00000000-0005-0000-0000-000004000000}"/>
    <cellStyle name="category" xfId="9" xr:uid="{00000000-0005-0000-0000-000005000000}"/>
    <cellStyle name="Comma [0]_ SG&amp;A Bridge " xfId="10" xr:uid="{00000000-0005-0000-0000-000006000000}"/>
    <cellStyle name="Comma_ SG&amp;A Bridge " xfId="11" xr:uid="{00000000-0005-0000-0000-000007000000}"/>
    <cellStyle name="Currency [0]_ SG&amp;A Bridge " xfId="12" xr:uid="{00000000-0005-0000-0000-000008000000}"/>
    <cellStyle name="Currency_ SG&amp;A Bridge " xfId="13" xr:uid="{00000000-0005-0000-0000-000009000000}"/>
    <cellStyle name="Grey" xfId="14" xr:uid="{00000000-0005-0000-0000-00000A000000}"/>
    <cellStyle name="HEADER" xfId="15" xr:uid="{00000000-0005-0000-0000-00000B000000}"/>
    <cellStyle name="Header1" xfId="16" xr:uid="{00000000-0005-0000-0000-00000C000000}"/>
    <cellStyle name="Header2" xfId="17" xr:uid="{00000000-0005-0000-0000-00000D000000}"/>
    <cellStyle name="Input [yellow]" xfId="18" xr:uid="{00000000-0005-0000-0000-00000E000000}"/>
    <cellStyle name="Model" xfId="19" xr:uid="{00000000-0005-0000-0000-00000F000000}"/>
    <cellStyle name="Normal - Style1" xfId="20" xr:uid="{00000000-0005-0000-0000-000010000000}"/>
    <cellStyle name="Normal_ SG&amp;A Bridge " xfId="21" xr:uid="{00000000-0005-0000-0000-000011000000}"/>
    <cellStyle name="Percent [2]" xfId="22" xr:uid="{00000000-0005-0000-0000-000012000000}"/>
    <cellStyle name="subhead" xfId="23" xr:uid="{00000000-0005-0000-0000-000013000000}"/>
    <cellStyle name="고정소숫점" xfId="24" xr:uid="{00000000-0005-0000-0000-000014000000}"/>
    <cellStyle name="고정출력1" xfId="25" xr:uid="{00000000-0005-0000-0000-000015000000}"/>
    <cellStyle name="고정출력2" xfId="26" xr:uid="{00000000-0005-0000-0000-000016000000}"/>
    <cellStyle name="날짜" xfId="27" xr:uid="{00000000-0005-0000-0000-000017000000}"/>
    <cellStyle name="달러" xfId="28" xr:uid="{00000000-0005-0000-0000-000018000000}"/>
    <cellStyle name="뒤에 오는 하이퍼링크_dimon" xfId="29" xr:uid="{00000000-0005-0000-0000-000019000000}"/>
    <cellStyle name="백분율" xfId="1" builtinId="5"/>
    <cellStyle name="뷭?_BOOKSHIP" xfId="30" xr:uid="{00000000-0005-0000-0000-00001B000000}"/>
    <cellStyle name="숫자(R)" xfId="31" xr:uid="{00000000-0005-0000-0000-00001C000000}"/>
    <cellStyle name="쉼표 [0]" xfId="2" builtinId="6"/>
    <cellStyle name="쉼표 [0] 2" xfId="45" xr:uid="{00000000-0005-0000-0000-00001E000000}"/>
    <cellStyle name="스타일 1" xfId="32" xr:uid="{00000000-0005-0000-0000-00001F000000}"/>
    <cellStyle name="안건회계법인" xfId="33" xr:uid="{00000000-0005-0000-0000-000020000000}"/>
    <cellStyle name="자리수" xfId="34" xr:uid="{00000000-0005-0000-0000-000021000000}"/>
    <cellStyle name="자리수0" xfId="35" xr:uid="{00000000-0005-0000-0000-000022000000}"/>
    <cellStyle name="콤마 [0]_(type)총괄" xfId="36" xr:uid="{00000000-0005-0000-0000-000023000000}"/>
    <cellStyle name="콤마_(type)총괄" xfId="37" xr:uid="{00000000-0005-0000-0000-000024000000}"/>
    <cellStyle name="통화 [0]" xfId="42" builtinId="7"/>
    <cellStyle name="퍼센트" xfId="38" xr:uid="{00000000-0005-0000-0000-000026000000}"/>
    <cellStyle name="표준" xfId="0" builtinId="0"/>
    <cellStyle name="표준 2" xfId="3" xr:uid="{00000000-0005-0000-0000-000028000000}"/>
    <cellStyle name="표준 3" xfId="44" xr:uid="{00000000-0005-0000-0000-000029000000}"/>
    <cellStyle name="표준 4" xfId="46" xr:uid="{BF0F069B-7160-4864-A21A-860280B9387B}"/>
    <cellStyle name="표준_Sheet1" xfId="43" xr:uid="{00000000-0005-0000-0000-00002A000000}"/>
    <cellStyle name="합산" xfId="39" xr:uid="{00000000-0005-0000-0000-00002B000000}"/>
    <cellStyle name="화폐기호" xfId="40" xr:uid="{00000000-0005-0000-0000-00002C000000}"/>
    <cellStyle name="화폐기호0" xfId="41" xr:uid="{00000000-0005-0000-0000-00002D000000}"/>
  </cellStyles>
  <dxfs count="13">
    <dxf>
      <border>
        <top style="thin">
          <color indexed="55"/>
        </top>
      </border>
    </dxf>
    <dxf>
      <border>
        <top style="thin">
          <color indexed="55"/>
        </top>
      </border>
    </dxf>
    <dxf>
      <border>
        <top style="thin">
          <color indexed="55"/>
        </top>
      </border>
    </dxf>
    <dxf>
      <border>
        <top style="thin">
          <color indexed="55"/>
        </top>
      </border>
    </dxf>
    <dxf>
      <border>
        <top style="thin">
          <color indexed="55"/>
        </top>
      </border>
    </dxf>
    <dxf>
      <border>
        <top style="thin">
          <color indexed="55"/>
        </top>
      </border>
    </dxf>
    <dxf>
      <border>
        <top style="thin">
          <color indexed="55"/>
        </top>
      </border>
    </dxf>
    <dxf>
      <border>
        <top style="thin">
          <color indexed="55"/>
        </top>
      </border>
    </dxf>
    <dxf>
      <font>
        <condense val="0"/>
        <extend val="0"/>
        <color indexed="10"/>
      </font>
    </dxf>
    <dxf>
      <border>
        <top style="thin">
          <color indexed="55"/>
        </top>
      </border>
    </dxf>
    <dxf>
      <border>
        <top style="thin">
          <color indexed="55"/>
        </top>
      </border>
    </dxf>
    <dxf>
      <font>
        <condense val="0"/>
        <extend val="0"/>
        <color indexed="10"/>
      </font>
    </dxf>
    <dxf>
      <border>
        <top style="thin">
          <color indexed="55"/>
        </top>
      </border>
    </dxf>
  </dxfs>
  <tableStyles count="0" defaultTableStyle="TableStyleMedium9" defaultPivotStyle="PivotStyleLight16"/>
  <colors>
    <mruColors>
      <color rgb="FF66CC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685800</xdr:colOff>
      <xdr:row>0</xdr:row>
      <xdr:rowOff>104775</xdr:rowOff>
    </xdr:from>
    <xdr:to>
      <xdr:col>4</xdr:col>
      <xdr:colOff>400050</xdr:colOff>
      <xdr:row>2</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85800" y="104775"/>
          <a:ext cx="2762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1200" b="1">
              <a:latin typeface="맑은 고딕"/>
              <a:ea typeface="맑은 고딕"/>
            </a:rPr>
            <a:t>■수익율 관리 개요</a:t>
          </a:r>
          <a:endParaRPr lang="ko-KR" altLang="en-US" sz="1200" b="1"/>
        </a:p>
      </xdr:txBody>
    </xdr:sp>
    <xdr:clientData/>
  </xdr:twoCellAnchor>
  <xdr:twoCellAnchor>
    <xdr:from>
      <xdr:col>0</xdr:col>
      <xdr:colOff>167054</xdr:colOff>
      <xdr:row>22</xdr:row>
      <xdr:rowOff>52998</xdr:rowOff>
    </xdr:from>
    <xdr:to>
      <xdr:col>4</xdr:col>
      <xdr:colOff>367079</xdr:colOff>
      <xdr:row>23</xdr:row>
      <xdr:rowOff>164367</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67054" y="3672498"/>
          <a:ext cx="2683852" cy="27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1200" b="1">
              <a:latin typeface="맑은 고딕"/>
              <a:ea typeface="맑은 고딕"/>
            </a:rPr>
            <a:t>■수익율 관리서 작성방법</a:t>
          </a:r>
          <a:endParaRPr lang="ko-KR" alt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228600</xdr:colOff>
      <xdr:row>36</xdr:row>
      <xdr:rowOff>152400</xdr:rowOff>
    </xdr:to>
    <xdr:pic>
      <xdr:nvPicPr>
        <xdr:cNvPr id="2" name="그림 1">
          <a:extLst>
            <a:ext uri="{FF2B5EF4-FFF2-40B4-BE49-F238E27FC236}">
              <a16:creationId xmlns:a16="http://schemas.microsoft.com/office/drawing/2014/main" id="{D8D25E47-0B60-4AAC-8066-F0F01E27C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6750"/>
          <a:ext cx="6400800" cy="727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xdr:row>
      <xdr:rowOff>52693</xdr:rowOff>
    </xdr:from>
    <xdr:to>
      <xdr:col>9</xdr:col>
      <xdr:colOff>123825</xdr:colOff>
      <xdr:row>83</xdr:row>
      <xdr:rowOff>114301</xdr:rowOff>
    </xdr:to>
    <xdr:pic>
      <xdr:nvPicPr>
        <xdr:cNvPr id="3" name="그림 2">
          <a:extLst>
            <a:ext uri="{FF2B5EF4-FFF2-40B4-BE49-F238E27FC236}">
              <a16:creationId xmlns:a16="http://schemas.microsoft.com/office/drawing/2014/main" id="{8B680AE9-E1F8-4C3B-9609-9E9F2F46A7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101443"/>
          <a:ext cx="6296025" cy="865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WINDOWS\TEMP\ARC95PR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BMAIL\INBOX\HSOH\TEMP\IPG0696F.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My%20Doc%20%231\COMPAQ\&#48156;&#51452;&#49436;_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2000&#45380;data\My%20Documents\My%20Documents\&#51088;&#46041;&#44204;&#51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grades pricing"/>
      <sheetName val="2.1 Reg Part Numbers"/>
      <sheetName val="2.2 Reg Part Numbers"/>
      <sheetName val="2.3 Reg Part Numbers"/>
      <sheetName val="2.1  pricing"/>
      <sheetName val="2.2  pricing"/>
      <sheetName val="2.3  pricing"/>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plement2"/>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컴팩 "/>
      <sheetName val="컴팩  (2)"/>
      <sheetName val="COMPAQ-LIST"/>
      <sheetName val="컴팩 ATLAS"/>
    </sheetNames>
    <sheetDataSet>
      <sheetData sheetId="0" refreshError="1"/>
      <sheetData sheetId="1" refreshError="1"/>
      <sheetData sheetId="2" refreshError="1"/>
      <sheetData sheetId="3">
        <row r="2">
          <cell r="A2" t="str">
            <v>Part No.</v>
          </cell>
          <cell r="B2" t="str">
            <v>Deskpro EP Series Celeron</v>
          </cell>
          <cell r="C2" t="str">
            <v>K1</v>
          </cell>
        </row>
        <row r="5">
          <cell r="A5" t="str">
            <v>386177-A74</v>
          </cell>
          <cell r="B5" t="str">
            <v>Model C366/4.3/32 (W95)</v>
          </cell>
          <cell r="C5">
            <v>960</v>
          </cell>
        </row>
        <row r="6">
          <cell r="A6" t="str">
            <v>386177-A72</v>
          </cell>
          <cell r="B6" t="str">
            <v>Model C366/6.4/64/CDS (W95)</v>
          </cell>
          <cell r="C6">
            <v>1170</v>
          </cell>
        </row>
        <row r="7">
          <cell r="A7" t="str">
            <v>401608-A72</v>
          </cell>
          <cell r="B7" t="str">
            <v>Model C400/4.3/32 (W95)</v>
          </cell>
          <cell r="C7">
            <v>1060</v>
          </cell>
        </row>
        <row r="8">
          <cell r="A8" t="str">
            <v>401608-A74</v>
          </cell>
          <cell r="B8" t="str">
            <v>Model C400/6.4/64/CDS (W95)</v>
          </cell>
          <cell r="C8">
            <v>1270</v>
          </cell>
        </row>
        <row r="10">
          <cell r="A10" t="str">
            <v>Part No.</v>
          </cell>
          <cell r="B10" t="str">
            <v>DP EP series Pentium II &amp; III</v>
          </cell>
          <cell r="C10" t="str">
            <v>K1</v>
          </cell>
        </row>
        <row r="13">
          <cell r="A13" t="str">
            <v>356102-A77</v>
          </cell>
          <cell r="B13" t="str">
            <v>Model 6350/4.3/64 (W95)</v>
          </cell>
          <cell r="C13">
            <v>1440</v>
          </cell>
        </row>
        <row r="14">
          <cell r="A14" t="str">
            <v>356102-A78</v>
          </cell>
          <cell r="B14" t="str">
            <v>Model 6350/4.3/64 (NT4)</v>
          </cell>
          <cell r="C14">
            <v>1480</v>
          </cell>
        </row>
        <row r="15">
          <cell r="A15" t="str">
            <v>166752-A72</v>
          </cell>
          <cell r="B15" t="str">
            <v>Model 6350/6.4/64/CDS (W95)</v>
          </cell>
          <cell r="C15">
            <v>1490</v>
          </cell>
        </row>
        <row r="16">
          <cell r="A16" t="str">
            <v>166752-A73</v>
          </cell>
          <cell r="B16" t="str">
            <v>Model 6350/6.4/64 (NT4)</v>
          </cell>
          <cell r="C16">
            <v>1540</v>
          </cell>
        </row>
        <row r="17">
          <cell r="A17" t="str">
            <v>166762-A72</v>
          </cell>
          <cell r="B17" t="str">
            <v>Model 6400/6.4/64/CDS (W95)</v>
          </cell>
          <cell r="C17">
            <v>1800</v>
          </cell>
        </row>
        <row r="18">
          <cell r="A18" t="str">
            <v>166762-A73</v>
          </cell>
          <cell r="B18" t="str">
            <v>Model 6400/6.4/64/CDS (NT4)</v>
          </cell>
          <cell r="C18">
            <v>1850</v>
          </cell>
        </row>
        <row r="19">
          <cell r="A19" t="str">
            <v>386178-A74</v>
          </cell>
          <cell r="B19" t="str">
            <v>Model PIII 450/10.0/64/CDS (W95)</v>
          </cell>
          <cell r="C19">
            <v>2250</v>
          </cell>
        </row>
        <row r="20">
          <cell r="A20" t="str">
            <v>386178-A75</v>
          </cell>
          <cell r="B20" t="str">
            <v>Model PIII 450/10.0/64/CDS (NT4)</v>
          </cell>
          <cell r="C20">
            <v>2280</v>
          </cell>
        </row>
        <row r="21">
          <cell r="A21" t="str">
            <v>386179-A74</v>
          </cell>
          <cell r="B21" t="str">
            <v>Model PIII 500/10.0/64/CDS (W95)</v>
          </cell>
          <cell r="C21">
            <v>2590</v>
          </cell>
        </row>
        <row r="22">
          <cell r="A22" t="str">
            <v>386179-A75</v>
          </cell>
          <cell r="B22" t="str">
            <v>Model PIII 500/10.0/64/CDS (NT4)</v>
          </cell>
          <cell r="C22">
            <v>2620</v>
          </cell>
        </row>
        <row r="24">
          <cell r="A24" t="str">
            <v>Part No.</v>
          </cell>
          <cell r="B24" t="str">
            <v>DP EN series</v>
          </cell>
          <cell r="C24" t="str">
            <v>K1</v>
          </cell>
        </row>
        <row r="27">
          <cell r="A27" t="str">
            <v>178922-A75</v>
          </cell>
          <cell r="B27" t="str">
            <v>Model 6350/6.4/64/CDS (W95)</v>
          </cell>
          <cell r="C27">
            <v>1680</v>
          </cell>
        </row>
        <row r="28">
          <cell r="A28" t="str">
            <v>178922-A78</v>
          </cell>
          <cell r="B28" t="str">
            <v>Model 6350/6.4/64/CDS (NT4)</v>
          </cell>
          <cell r="C28">
            <v>1720</v>
          </cell>
        </row>
        <row r="29">
          <cell r="A29" t="str">
            <v>178932-A72</v>
          </cell>
          <cell r="B29" t="str">
            <v>Model 6400/6.4/64/CDS (W95)</v>
          </cell>
          <cell r="C29">
            <v>1880</v>
          </cell>
        </row>
        <row r="30">
          <cell r="A30" t="str">
            <v>178932-A73</v>
          </cell>
          <cell r="B30" t="str">
            <v>Model 6400/6.4/64/CDS (NT4)</v>
          </cell>
          <cell r="C30">
            <v>2010</v>
          </cell>
        </row>
        <row r="31">
          <cell r="A31" t="str">
            <v>178942-A73</v>
          </cell>
          <cell r="B31" t="str">
            <v>Model 6450/6.4/64/CDS (NT4)</v>
          </cell>
          <cell r="C31">
            <v>2380</v>
          </cell>
        </row>
        <row r="32">
          <cell r="A32" t="str">
            <v>326302-A73</v>
          </cell>
          <cell r="B32" t="str">
            <v>Model 6350/S4.3/64/CDS (NT4)</v>
          </cell>
          <cell r="C32">
            <v>2190</v>
          </cell>
        </row>
        <row r="33">
          <cell r="A33" t="str">
            <v>326402-A72</v>
          </cell>
          <cell r="B33" t="str">
            <v>Model 6400/S4.3/64/CDS (NT4)</v>
          </cell>
          <cell r="C33">
            <v>2470</v>
          </cell>
        </row>
        <row r="34">
          <cell r="A34" t="str">
            <v>326552-A72</v>
          </cell>
          <cell r="B34" t="str">
            <v>Model M 6450/S9.1/64/CDS (NT4)</v>
          </cell>
          <cell r="C34">
            <v>3030</v>
          </cell>
        </row>
        <row r="35">
          <cell r="A35" t="str">
            <v>386184-A72</v>
          </cell>
          <cell r="B35" t="str">
            <v>Model M PIII 450/10.0/128/CDS (W95)</v>
          </cell>
          <cell r="C35">
            <v>2550</v>
          </cell>
        </row>
        <row r="36">
          <cell r="A36" t="str">
            <v>386184-A73</v>
          </cell>
          <cell r="B36" t="str">
            <v xml:space="preserve">Model M PIII 450/10.0/128/CDS (NT4) </v>
          </cell>
          <cell r="C36">
            <v>2570</v>
          </cell>
        </row>
        <row r="37">
          <cell r="A37" t="str">
            <v>386185-A72</v>
          </cell>
          <cell r="B37" t="str">
            <v>Model M PIII 500/10.0/128/CDS (W95)</v>
          </cell>
          <cell r="C37">
            <v>2970</v>
          </cell>
        </row>
        <row r="38">
          <cell r="A38" t="str">
            <v>386185-A73</v>
          </cell>
          <cell r="B38" t="str">
            <v>Model M PIII 500/10.0/128/CDS (NT4)</v>
          </cell>
          <cell r="C38">
            <v>3000</v>
          </cell>
        </row>
        <row r="40">
          <cell r="A40" t="str">
            <v>Part. No</v>
          </cell>
          <cell r="B40" t="str">
            <v xml:space="preserve">DP EN series SFF </v>
          </cell>
          <cell r="C40" t="str">
            <v>K1</v>
          </cell>
        </row>
        <row r="43">
          <cell r="A43" t="str">
            <v>314052-A72</v>
          </cell>
          <cell r="B43" t="str">
            <v>Model 6350/6.4/32 (W95)</v>
          </cell>
          <cell r="C43">
            <v>1390</v>
          </cell>
        </row>
        <row r="44">
          <cell r="A44" t="str">
            <v>314052-A73</v>
          </cell>
          <cell r="B44" t="str">
            <v>Model 6350/6.4/32/CDS (W95)</v>
          </cell>
          <cell r="C44">
            <v>1580</v>
          </cell>
        </row>
        <row r="45">
          <cell r="A45" t="str">
            <v>314062-A73</v>
          </cell>
          <cell r="B45" t="str">
            <v>Model 6400/6.4/32/CDS (W95)</v>
          </cell>
          <cell r="C45">
            <v>1890</v>
          </cell>
        </row>
        <row r="46">
          <cell r="A46" t="str">
            <v>314072-A73</v>
          </cell>
          <cell r="B46" t="str">
            <v>Model 6450/6.4/64/CDS (W95)</v>
          </cell>
          <cell r="C46">
            <v>2370</v>
          </cell>
        </row>
        <row r="48">
          <cell r="A48" t="str">
            <v>Part No.</v>
          </cell>
          <cell r="B48" t="str">
            <v>Description</v>
          </cell>
          <cell r="C48" t="str">
            <v>K1</v>
          </cell>
        </row>
        <row r="49">
          <cell r="A49" t="str">
            <v>Audio Cards</v>
          </cell>
        </row>
        <row r="50">
          <cell r="A50" t="str">
            <v>294146-B21</v>
          </cell>
          <cell r="B50" t="str">
            <v>Wavetable Soundcard</v>
          </cell>
          <cell r="C50">
            <v>75</v>
          </cell>
        </row>
        <row r="51">
          <cell r="A51" t="str">
            <v>185061-001</v>
          </cell>
          <cell r="B51" t="str">
            <v>SuperDisk LS-120 Drive Kit</v>
          </cell>
          <cell r="C51">
            <v>196.89600000000002</v>
          </cell>
        </row>
        <row r="52">
          <cell r="A52" t="str">
            <v>Hard Drives</v>
          </cell>
        </row>
        <row r="53">
          <cell r="A53" t="str">
            <v>294368-B21</v>
          </cell>
          <cell r="B53" t="str">
            <v>2.1GB HDD UATA</v>
          </cell>
          <cell r="C53">
            <v>295.34399999999999</v>
          </cell>
        </row>
        <row r="54">
          <cell r="A54" t="str">
            <v>296606-B21</v>
          </cell>
          <cell r="B54" t="str">
            <v>4.3GB UDMA HDD</v>
          </cell>
          <cell r="C54">
            <v>290</v>
          </cell>
        </row>
        <row r="55">
          <cell r="A55" t="str">
            <v>294244-B21</v>
          </cell>
          <cell r="B55" t="str">
            <v>6.4GB UDMA HDD</v>
          </cell>
          <cell r="C55">
            <v>340</v>
          </cell>
        </row>
        <row r="56">
          <cell r="A56" t="str">
            <v>294245-B21</v>
          </cell>
          <cell r="B56" t="str">
            <v>8.4GB UDMA HDD</v>
          </cell>
          <cell r="C56">
            <v>380</v>
          </cell>
        </row>
        <row r="57">
          <cell r="A57" t="str">
            <v>387473-B21</v>
          </cell>
          <cell r="B57" t="str">
            <v>10GB UDMA HDD</v>
          </cell>
          <cell r="C57">
            <v>410</v>
          </cell>
        </row>
        <row r="58">
          <cell r="A58" t="str">
            <v>294246-B21</v>
          </cell>
          <cell r="B58" t="str">
            <v>9.1GB UW SCSI HDD</v>
          </cell>
          <cell r="C58">
            <v>780</v>
          </cell>
        </row>
        <row r="59">
          <cell r="A59" t="str">
            <v>294371-B21</v>
          </cell>
          <cell r="B59" t="str">
            <v>4.3GB UW SCSI HDD</v>
          </cell>
          <cell r="C59">
            <v>530</v>
          </cell>
        </row>
        <row r="60">
          <cell r="A60" t="str">
            <v>ROMs</v>
          </cell>
        </row>
        <row r="61">
          <cell r="A61" t="str">
            <v>294358-B21</v>
          </cell>
          <cell r="B61" t="str">
            <v>24X Slim IDE CD-ROM Drive</v>
          </cell>
          <cell r="C61">
            <v>175.8</v>
          </cell>
        </row>
        <row r="62">
          <cell r="A62" t="str">
            <v>294240-B21</v>
          </cell>
          <cell r="B62" t="str">
            <v>32X CD-ROM Drive(IDE)</v>
          </cell>
          <cell r="C62">
            <v>110.75399999999999</v>
          </cell>
        </row>
        <row r="63">
          <cell r="A63" t="str">
            <v>185085-001</v>
          </cell>
          <cell r="B63" t="str">
            <v>PD Disc (Qty.2)</v>
          </cell>
          <cell r="C63">
            <v>85</v>
          </cell>
        </row>
        <row r="64">
          <cell r="A64" t="str">
            <v>185085-002</v>
          </cell>
          <cell r="B64" t="str">
            <v>PD Disc (Qty 5)</v>
          </cell>
          <cell r="C64">
            <v>185</v>
          </cell>
        </row>
        <row r="65">
          <cell r="A65" t="str">
            <v>Floppy Dives</v>
          </cell>
        </row>
        <row r="66">
          <cell r="A66" t="str">
            <v>294402-B21</v>
          </cell>
          <cell r="B66" t="str">
            <v>Iomega Zip 100 Drive</v>
          </cell>
          <cell r="C66">
            <v>120</v>
          </cell>
        </row>
        <row r="67">
          <cell r="A67" t="str">
            <v>185061-B25</v>
          </cell>
          <cell r="B67" t="str">
            <v>SuperDisk LS-120 Drive Kit -Opal color</v>
          </cell>
          <cell r="C67">
            <v>189.864</v>
          </cell>
        </row>
        <row r="68">
          <cell r="A68" t="str">
            <v>Controller Cards</v>
          </cell>
        </row>
        <row r="69">
          <cell r="A69" t="str">
            <v>294311-B21</v>
          </cell>
          <cell r="B69" t="str">
            <v>Ultra Wide Controller kit</v>
          </cell>
          <cell r="C69">
            <v>219.45700000000002</v>
          </cell>
        </row>
        <row r="70">
          <cell r="A70" t="str">
            <v>Cables &amp; Adapters</v>
          </cell>
        </row>
        <row r="71">
          <cell r="A71" t="str">
            <v>294162-B21</v>
          </cell>
          <cell r="B71" t="str">
            <v xml:space="preserve">Ultra ATA Cable Kit </v>
          </cell>
          <cell r="C71">
            <v>26.252799999999997</v>
          </cell>
        </row>
        <row r="72">
          <cell r="A72" t="str">
            <v>294360-B21</v>
          </cell>
          <cell r="B72" t="str">
            <v>UN SCSI Cable Kit</v>
          </cell>
          <cell r="C72">
            <v>37</v>
          </cell>
        </row>
        <row r="73">
          <cell r="A73" t="str">
            <v>Video &amp; Cache</v>
          </cell>
        </row>
        <row r="74">
          <cell r="A74" t="str">
            <v>270830-B21</v>
          </cell>
          <cell r="B74" t="str">
            <v>S3V2 1MB SGRAM Video Upgrade</v>
          </cell>
          <cell r="C74">
            <v>40</v>
          </cell>
        </row>
        <row r="75">
          <cell r="A75" t="str">
            <v>270834-B21</v>
          </cell>
          <cell r="B75" t="str">
            <v>S3V2 2MB SGRAM Video Upgrade</v>
          </cell>
          <cell r="C75">
            <v>49.010909090909088</v>
          </cell>
        </row>
        <row r="76">
          <cell r="A76" t="str">
            <v>270831-B21</v>
          </cell>
          <cell r="B76" t="str">
            <v>4MB WRAM Matrox Millenium II</v>
          </cell>
          <cell r="C76">
            <v>140</v>
          </cell>
        </row>
        <row r="77">
          <cell r="A77" t="str">
            <v>270833-B21</v>
          </cell>
          <cell r="B77" t="str">
            <v>12MB WRAM Matrox Millenium II</v>
          </cell>
          <cell r="C77">
            <v>334.55272727272722</v>
          </cell>
        </row>
        <row r="78">
          <cell r="A78" t="str">
            <v>294227-B21</v>
          </cell>
          <cell r="B78" t="str">
            <v>4MB SGRAM 100MHz</v>
          </cell>
          <cell r="C78">
            <v>60.943999999999996</v>
          </cell>
        </row>
        <row r="79">
          <cell r="A79" t="str">
            <v>243011-002</v>
          </cell>
          <cell r="B79" t="str">
            <v>8-MB Memory Kit (2x4MB, EDO SiMMs, 60ns)</v>
          </cell>
          <cell r="C79">
            <v>45.942399999999992</v>
          </cell>
        </row>
        <row r="80">
          <cell r="A80" t="str">
            <v>243012-002</v>
          </cell>
          <cell r="B80" t="str">
            <v>16-MB Memory Kit (2x4MB, EDO SiMMs, 60ns)</v>
          </cell>
          <cell r="C80">
            <v>72</v>
          </cell>
        </row>
        <row r="81">
          <cell r="A81" t="str">
            <v>278797-B21</v>
          </cell>
          <cell r="B81" t="str">
            <v>256KB L2 Cache Memory kit</v>
          </cell>
          <cell r="C81">
            <v>25</v>
          </cell>
        </row>
        <row r="82">
          <cell r="A82" t="str">
            <v>SDRAM &amp; SDRAM ECC</v>
          </cell>
        </row>
        <row r="83">
          <cell r="A83" t="str">
            <v>243013-002</v>
          </cell>
          <cell r="B83" t="str">
            <v>32-MB Memory Kit (2x4MB, EDO SiMMs, 60ns)</v>
          </cell>
          <cell r="C83">
            <v>126</v>
          </cell>
        </row>
        <row r="84">
          <cell r="A84" t="str">
            <v>243014-002</v>
          </cell>
          <cell r="B84" t="str">
            <v>64-MB Memory Kit (2x4MB, EDO SiMMs, 60ns)</v>
          </cell>
          <cell r="C84">
            <v>205.1</v>
          </cell>
        </row>
        <row r="85">
          <cell r="A85" t="str">
            <v>270840-B21</v>
          </cell>
          <cell r="B85" t="str">
            <v>16MB SDRAM DIMM Memory Kit (ECC)</v>
          </cell>
          <cell r="C85">
            <v>83</v>
          </cell>
        </row>
        <row r="86">
          <cell r="A86" t="str">
            <v>270841-B21</v>
          </cell>
          <cell r="B86" t="str">
            <v>32MB SDRAM DIMM Memory Kit (ECC)</v>
          </cell>
          <cell r="C86">
            <v>128.91999999999999</v>
          </cell>
        </row>
        <row r="87">
          <cell r="A87" t="str">
            <v>270842-B21</v>
          </cell>
          <cell r="B87" t="str">
            <v>64MB SDRAM DIMM Memory Kit (ECC)</v>
          </cell>
          <cell r="C87">
            <v>257.47938461538462</v>
          </cell>
        </row>
        <row r="88">
          <cell r="A88" t="str">
            <v>270843-B21</v>
          </cell>
          <cell r="B88" t="str">
            <v>128MB SDRAM DIMM Memory Kit (ECC)</v>
          </cell>
          <cell r="C88">
            <v>450.60776119402982</v>
          </cell>
        </row>
        <row r="89">
          <cell r="A89" t="str">
            <v>242802-B21</v>
          </cell>
          <cell r="B89" t="str">
            <v>8MB SDRAM DIMM Memory Kit</v>
          </cell>
          <cell r="C89">
            <v>45.122</v>
          </cell>
        </row>
        <row r="90">
          <cell r="A90" t="str">
            <v>242803-B21</v>
          </cell>
          <cell r="B90" t="str">
            <v>16MB SDRAM DIMM Memory Kit</v>
          </cell>
          <cell r="C90">
            <v>72</v>
          </cell>
        </row>
        <row r="91">
          <cell r="A91" t="str">
            <v>242804-B21</v>
          </cell>
          <cell r="B91" t="str">
            <v>32MB SDRAM DIMM Memory Kit</v>
          </cell>
          <cell r="C91">
            <v>126</v>
          </cell>
        </row>
        <row r="92">
          <cell r="A92" t="str">
            <v>242805-B21</v>
          </cell>
          <cell r="B92" t="str">
            <v>64MB SDRAM DIMM Memory Kit</v>
          </cell>
          <cell r="C92">
            <v>213.30399999999997</v>
          </cell>
        </row>
        <row r="93">
          <cell r="A93" t="str">
            <v>270812-B21</v>
          </cell>
          <cell r="B93" t="str">
            <v>128MB SDRAM DIMM Memory Kit</v>
          </cell>
          <cell r="C93">
            <v>411.46215384615385</v>
          </cell>
        </row>
        <row r="94">
          <cell r="A94" t="str">
            <v>166611-B21</v>
          </cell>
          <cell r="B94" t="str">
            <v>16MB SDRAM 100MHz DIMM</v>
          </cell>
          <cell r="C94">
            <v>73</v>
          </cell>
        </row>
        <row r="95">
          <cell r="A95" t="str">
            <v>166612-B21</v>
          </cell>
          <cell r="B95" t="str">
            <v>32MB SDRAM 100MHz DIMM</v>
          </cell>
          <cell r="C95">
            <v>131</v>
          </cell>
        </row>
        <row r="96">
          <cell r="A96" t="str">
            <v>166613-B21</v>
          </cell>
          <cell r="B96" t="str">
            <v>64MB SDRAM 100MHz DIMM</v>
          </cell>
          <cell r="C96">
            <v>237.0044444444444</v>
          </cell>
        </row>
        <row r="97">
          <cell r="A97" t="str">
            <v>166614-B21</v>
          </cell>
          <cell r="B97" t="str">
            <v>128MB SDRAM 100MHz DIMM</v>
          </cell>
          <cell r="C97">
            <v>427.12888888888892</v>
          </cell>
        </row>
        <row r="98">
          <cell r="A98" t="str">
            <v>166615-B21</v>
          </cell>
          <cell r="B98" t="str">
            <v>16MB SDRAM 100MHz DIMM ECC</v>
          </cell>
          <cell r="C98">
            <v>86</v>
          </cell>
        </row>
        <row r="99">
          <cell r="A99" t="str">
            <v>166616-B21</v>
          </cell>
          <cell r="B99" t="str">
            <v xml:space="preserve">32MB SDRAM 100MHz DIMM ECC </v>
          </cell>
          <cell r="C99">
            <v>149</v>
          </cell>
        </row>
        <row r="100">
          <cell r="A100" t="str">
            <v>166617-B21</v>
          </cell>
          <cell r="B100" t="str">
            <v>64MB SDRAM 100MHz DIMM ECC</v>
          </cell>
          <cell r="C100">
            <v>280</v>
          </cell>
        </row>
        <row r="101">
          <cell r="A101" t="str">
            <v>166618-B21</v>
          </cell>
          <cell r="B101" t="str">
            <v>128MB SDRAM 100MHz DIMM ECC</v>
          </cell>
          <cell r="C101">
            <v>486.94709677419354</v>
          </cell>
        </row>
        <row r="102">
          <cell r="A102" t="str">
            <v>Mouse Kits</v>
          </cell>
        </row>
        <row r="103">
          <cell r="A103" t="str">
            <v>143315-B21</v>
          </cell>
          <cell r="B103" t="str">
            <v>Mouse -Opal</v>
          </cell>
          <cell r="C103">
            <v>19.689600000000002</v>
          </cell>
        </row>
        <row r="104">
          <cell r="A104" t="str">
            <v>Tape Drives</v>
          </cell>
        </row>
        <row r="105">
          <cell r="A105" t="str">
            <v>294243-B21</v>
          </cell>
          <cell r="B105" t="str">
            <v>TR5 Tape Drive Kit</v>
          </cell>
          <cell r="C105">
            <v>420</v>
          </cell>
        </row>
        <row r="106">
          <cell r="A106" t="str">
            <v>186703-B25</v>
          </cell>
          <cell r="B106" t="str">
            <v>TR4 Tape Drive -Opal</v>
          </cell>
          <cell r="C106">
            <v>319.95599999999996</v>
          </cell>
        </row>
        <row r="107">
          <cell r="A107" t="str">
            <v>Monitors</v>
          </cell>
        </row>
        <row r="108">
          <cell r="A108" t="str">
            <v>308006-001</v>
          </cell>
          <cell r="B108" t="str">
            <v>V55 15" Color Monitor</v>
          </cell>
          <cell r="C108">
            <v>250</v>
          </cell>
        </row>
        <row r="109">
          <cell r="A109" t="str">
            <v>307710-B24</v>
          </cell>
          <cell r="B109" t="str">
            <v>V75 17"Color Monitor</v>
          </cell>
          <cell r="C109">
            <v>505</v>
          </cell>
        </row>
        <row r="111">
          <cell r="A111" t="str">
            <v>Part Number</v>
          </cell>
          <cell r="B111" t="str">
            <v>Description</v>
          </cell>
          <cell r="C111" t="str">
            <v>K1</v>
          </cell>
        </row>
        <row r="112">
          <cell r="A112" t="str">
            <v>339360-371</v>
          </cell>
          <cell r="B112" t="str">
            <v>ProLiant 400 6/400 512K</v>
          </cell>
          <cell r="C112">
            <v>2776</v>
          </cell>
        </row>
        <row r="113">
          <cell r="A113" t="str">
            <v>339360-372</v>
          </cell>
          <cell r="B113" t="str">
            <v>ProLiant 400 6/400 512K 4.3G</v>
          </cell>
          <cell r="C113">
            <v>3180</v>
          </cell>
        </row>
        <row r="114">
          <cell r="A114" t="str">
            <v>401145-371</v>
          </cell>
          <cell r="B114" t="str">
            <v>ProLiant 5500 XEON 6/450 512K</v>
          </cell>
          <cell r="C114">
            <v>14857</v>
          </cell>
        </row>
        <row r="115">
          <cell r="A115" t="str">
            <v>401146-371</v>
          </cell>
          <cell r="B115" t="str">
            <v>ProLiant 5500 XEON 6/450R 512K</v>
          </cell>
          <cell r="C115">
            <v>15627</v>
          </cell>
        </row>
        <row r="116">
          <cell r="A116" t="str">
            <v>401147-371</v>
          </cell>
          <cell r="B116" t="str">
            <v>ProLiant 5500 XEON 6/450 1M</v>
          </cell>
          <cell r="C116">
            <v>21364</v>
          </cell>
        </row>
        <row r="117">
          <cell r="A117" t="str">
            <v>401148-371</v>
          </cell>
          <cell r="B117" t="str">
            <v>ProLiant 5500 XEON 6/450R 1M</v>
          </cell>
          <cell r="C117">
            <v>21897</v>
          </cell>
        </row>
        <row r="118">
          <cell r="A118" t="str">
            <v>386668-371</v>
          </cell>
          <cell r="B118" t="str">
            <v>ProLiant 6000 XEON 6/450 512K</v>
          </cell>
          <cell r="C118">
            <v>16996</v>
          </cell>
        </row>
        <row r="119">
          <cell r="A119" t="str">
            <v>386669-371</v>
          </cell>
          <cell r="B119" t="str">
            <v>ProLiant 6000 XEON 6/450 2P 1M</v>
          </cell>
          <cell r="C119">
            <v>31202</v>
          </cell>
        </row>
        <row r="120">
          <cell r="A120" t="str">
            <v>179625-371</v>
          </cell>
          <cell r="B120" t="str">
            <v>ProLiant 6500 XEON 6/450R 512K</v>
          </cell>
          <cell r="C120">
            <v>19510</v>
          </cell>
        </row>
        <row r="121">
          <cell r="A121" t="str">
            <v>179640-371</v>
          </cell>
          <cell r="B121" t="str">
            <v>ProLiant 6500 XEON 6/450R 2P 1M</v>
          </cell>
          <cell r="C121">
            <v>30095</v>
          </cell>
        </row>
        <row r="122">
          <cell r="A122" t="str">
            <v>179650-371</v>
          </cell>
          <cell r="B122" t="str">
            <v>ProLiant 6500 XEON 6/450R 2P 2M</v>
          </cell>
          <cell r="C122">
            <v>43235</v>
          </cell>
        </row>
        <row r="123">
          <cell r="A123" t="str">
            <v>386670-371</v>
          </cell>
          <cell r="B123" t="str">
            <v>ProLiant 7000 XEON 6/450R 1M</v>
          </cell>
          <cell r="C123">
            <v>28560</v>
          </cell>
        </row>
        <row r="124">
          <cell r="A124" t="str">
            <v>386671-371</v>
          </cell>
          <cell r="B124" t="str">
            <v>ProLiant 7000 XEON 6/450R 2P 2M</v>
          </cell>
          <cell r="C124">
            <v>49456</v>
          </cell>
        </row>
        <row r="126">
          <cell r="A126" t="str">
            <v>332609-B31</v>
          </cell>
          <cell r="B126" t="str">
            <v>Proliant SCSI Storage Expander II</v>
          </cell>
          <cell r="C126">
            <v>1098</v>
          </cell>
        </row>
        <row r="127">
          <cell r="A127" t="str">
            <v>332607-B31</v>
          </cell>
          <cell r="B127" t="str">
            <v>Proliant SCSI Storage Expander II Rack</v>
          </cell>
          <cell r="C127">
            <v>2039</v>
          </cell>
        </row>
        <row r="128">
          <cell r="A128" t="str">
            <v>348757-B21</v>
          </cell>
          <cell r="B128" t="str">
            <v>Dual Channel Ultra-2 SCSI Controller</v>
          </cell>
          <cell r="C128">
            <v>618</v>
          </cell>
        </row>
        <row r="129">
          <cell r="A129" t="str">
            <v>350365-B31</v>
          </cell>
          <cell r="B129" t="str">
            <v>35/70 GB DLT Library Model 1</v>
          </cell>
          <cell r="C129">
            <v>19900</v>
          </cell>
        </row>
        <row r="130">
          <cell r="A130" t="str">
            <v>350365-B32</v>
          </cell>
          <cell r="B130" t="str">
            <v>35/70 GB DLT Library Model 2</v>
          </cell>
          <cell r="C130">
            <v>30700</v>
          </cell>
        </row>
        <row r="131">
          <cell r="A131" t="str">
            <v>350367-B21</v>
          </cell>
          <cell r="B131" t="str">
            <v>35/70 GB DLT Library Ready Drive</v>
          </cell>
          <cell r="C131">
            <v>10800</v>
          </cell>
        </row>
        <row r="132">
          <cell r="A132" t="str">
            <v>223187-B21</v>
          </cell>
          <cell r="B132" t="str">
            <v>Panther Fibre Channel Array Controller</v>
          </cell>
          <cell r="C132">
            <v>3650</v>
          </cell>
        </row>
        <row r="133">
          <cell r="A133" t="str">
            <v>328812-B21</v>
          </cell>
          <cell r="B133" t="str">
            <v>Xeon 6/450 512 K Processor Kit</v>
          </cell>
          <cell r="C133">
            <v>2600</v>
          </cell>
        </row>
        <row r="134">
          <cell r="A134" t="str">
            <v>328813-B21</v>
          </cell>
          <cell r="B134" t="str">
            <v>Xeon 6/450 1MB Processor Kit</v>
          </cell>
          <cell r="C134">
            <v>5200</v>
          </cell>
        </row>
        <row r="135">
          <cell r="A135" t="str">
            <v>328814-B21</v>
          </cell>
          <cell r="B135" t="str">
            <v>Xeon 6/450 2MB Processor Kit</v>
          </cell>
          <cell r="C135">
            <v>16870</v>
          </cell>
        </row>
        <row r="136">
          <cell r="A136" t="str">
            <v>328254-B21</v>
          </cell>
          <cell r="B136" t="str">
            <v>Xeon/450 512K Slot 2 Processor</v>
          </cell>
          <cell r="C136">
            <v>2600</v>
          </cell>
        </row>
        <row r="137">
          <cell r="A137" t="str">
            <v>328255-B21</v>
          </cell>
          <cell r="B137" t="str">
            <v>Xeon/450 1M Slot 2 Processor</v>
          </cell>
          <cell r="C137">
            <v>5200</v>
          </cell>
        </row>
        <row r="138">
          <cell r="A138" t="str">
            <v>328256-B21</v>
          </cell>
          <cell r="B138" t="str">
            <v>Xeon/450 2M Slot 2 Processor</v>
          </cell>
          <cell r="C138">
            <v>16870</v>
          </cell>
        </row>
        <row r="139">
          <cell r="A139" t="str">
            <v>328718-B21</v>
          </cell>
          <cell r="B139" t="str">
            <v>Xeon/400 1M Slot 2</v>
          </cell>
          <cell r="C139">
            <v>5200</v>
          </cell>
        </row>
        <row r="140">
          <cell r="A140" t="str">
            <v>328976-B21</v>
          </cell>
          <cell r="B140" t="str">
            <v>Xeon/450 512K Slot 2</v>
          </cell>
          <cell r="C140">
            <v>2600</v>
          </cell>
        </row>
        <row r="141">
          <cell r="A141" t="str">
            <v>328977-B21</v>
          </cell>
          <cell r="B141" t="str">
            <v>Xeon/450 1M Slot 2</v>
          </cell>
          <cell r="C141">
            <v>5200</v>
          </cell>
        </row>
        <row r="142">
          <cell r="A142" t="str">
            <v>328978-B21</v>
          </cell>
          <cell r="B142" t="str">
            <v>Xeon/450 2M Slot 2</v>
          </cell>
          <cell r="C142">
            <v>16870</v>
          </cell>
        </row>
        <row r="143">
          <cell r="A143" t="str">
            <v>338707-B21</v>
          </cell>
          <cell r="B143" t="str">
            <v>Richmond Upgrade Kit (PL 6500 Ppro to Xeon)</v>
          </cell>
          <cell r="C143">
            <v>8667</v>
          </cell>
        </row>
        <row r="144">
          <cell r="A144" t="str">
            <v>179766-B21</v>
          </cell>
          <cell r="B144" t="str">
            <v>PL3000 upgrade to 100Mhz FSB</v>
          </cell>
          <cell r="C144">
            <v>1237</v>
          </cell>
        </row>
        <row r="145">
          <cell r="A145" t="str">
            <v>401703-B21</v>
          </cell>
          <cell r="B145" t="str">
            <v>64 MB Unbuffered Registered SDRAM DIMM Kit (1 x 64)</v>
          </cell>
          <cell r="C145">
            <v>396</v>
          </cell>
        </row>
        <row r="146">
          <cell r="A146" t="str">
            <v>401704-B21</v>
          </cell>
          <cell r="B146" t="str">
            <v>128 MB Unbuffered Registered SDRAM DIMM Kit (1 x 128)</v>
          </cell>
          <cell r="C146">
            <v>792</v>
          </cell>
        </row>
        <row r="147">
          <cell r="A147" t="str">
            <v>328948-B21</v>
          </cell>
          <cell r="B147" t="str">
            <v>PL 6500 Xeon Rack to Tower Conversion Kit</v>
          </cell>
          <cell r="C147">
            <v>448</v>
          </cell>
        </row>
        <row r="148">
          <cell r="A148" t="str">
            <v>387798-B21</v>
          </cell>
          <cell r="B148" t="str">
            <v>PLT 800/1200/1600/2500 Tower to Rack conversion kit</v>
          </cell>
          <cell r="C148">
            <v>448</v>
          </cell>
        </row>
        <row r="149">
          <cell r="A149" t="str">
            <v>382120-B21</v>
          </cell>
          <cell r="B149" t="str">
            <v>Oracle Parallel Database Cluster Kit - E/NET</v>
          </cell>
          <cell r="C149">
            <v>4307</v>
          </cell>
        </row>
      </sheetData>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서1"/>
      <sheetName val="견적서2"/>
      <sheetName val="사전사후1"/>
      <sheetName val="사전사후2"/>
      <sheetName val="model master"/>
    </sheetNames>
    <sheetDataSet>
      <sheetData sheetId="0"/>
      <sheetData sheetId="1"/>
      <sheetData sheetId="2"/>
      <sheetData sheetId="3"/>
      <sheetData sheetId="4">
        <row r="2">
          <cell r="A2" t="str">
            <v>292980-371</v>
          </cell>
          <cell r="B2" t="str">
            <v>CPU</v>
          </cell>
          <cell r="C2">
            <v>234</v>
          </cell>
          <cell r="D2" t="str">
            <v xml:space="preserve">COMPAQ ProSignia 200 </v>
          </cell>
          <cell r="E2" t="str">
            <v>- Pentium II 6/233MHz  Processor</v>
          </cell>
          <cell r="F2" t="str">
            <v>- 32MB EDO SIMM  Memory</v>
          </cell>
          <cell r="G2" t="str">
            <v>- NO HDD</v>
          </cell>
          <cell r="H2" t="str">
            <v>- 고속 512KB  cache</v>
          </cell>
          <cell r="I2" t="str">
            <v>- PCI System Arch</v>
          </cell>
          <cell r="J2" t="str">
            <v>- 3.5" 1.44MB FDD</v>
          </cell>
          <cell r="K2" t="str">
            <v>- 16X CD-ROM Drive</v>
          </cell>
          <cell r="L2" t="str">
            <v>- 3 PCI, 1 ISA, 1 PCI/ISA Slot</v>
          </cell>
          <cell r="M2" t="str">
            <v>- 내장 Netelligent 10/100 TX PCI UTP Controller</v>
          </cell>
          <cell r="R2">
            <v>3333100</v>
          </cell>
        </row>
        <row r="3">
          <cell r="A3" t="str">
            <v>292970-372</v>
          </cell>
          <cell r="D3" t="str">
            <v xml:space="preserve">COMPAQ ProSignia 200 </v>
          </cell>
          <cell r="E3" t="str">
            <v>- Pentium II 6/233MHz  Processor</v>
          </cell>
          <cell r="F3" t="str">
            <v>- 32MB EDO SIMM  Memory</v>
          </cell>
          <cell r="G3" t="str">
            <v>- 3.2 GB HDD</v>
          </cell>
          <cell r="H3" t="str">
            <v>- 고속 512KB  cache</v>
          </cell>
          <cell r="I3" t="str">
            <v>- PCI System Arch</v>
          </cell>
          <cell r="J3" t="str">
            <v>- 3.5" 1.44MB FDD</v>
          </cell>
          <cell r="K3" t="str">
            <v>- 16X CD-ROM Drive</v>
          </cell>
          <cell r="L3" t="str">
            <v>- 3 PCI, 1 ISA, 1 PCI/ISA Slot</v>
          </cell>
          <cell r="M3" t="str">
            <v>- 내장 Netelligent 10/100 TX PCI UTP Controller</v>
          </cell>
          <cell r="R3">
            <v>4445000</v>
          </cell>
        </row>
        <row r="4">
          <cell r="A4" t="str">
            <v>312350-371</v>
          </cell>
          <cell r="D4" t="str">
            <v xml:space="preserve">COMPAQ ProSignia 200 </v>
          </cell>
          <cell r="E4" t="str">
            <v>- Pentium II 6/266MHz  Processor</v>
          </cell>
          <cell r="F4" t="str">
            <v>- 32MB ECC SIMM Memory</v>
          </cell>
          <cell r="G4" t="str">
            <v>- NO HDD</v>
          </cell>
          <cell r="H4" t="str">
            <v>- 고속 512KB  cache</v>
          </cell>
          <cell r="I4" t="str">
            <v>- PCI System Arch</v>
          </cell>
          <cell r="J4" t="str">
            <v>- 3.5" 1.44MB FDD</v>
          </cell>
          <cell r="K4" t="str">
            <v>- 16X CD-ROM Drive</v>
          </cell>
          <cell r="L4" t="str">
            <v>- 3 PCI, 1 ISA, 1 PCI/ISA Slot</v>
          </cell>
          <cell r="M4" t="str">
            <v>- 내장 Netelligent 10/100 TX PCI UTP Controller</v>
          </cell>
          <cell r="R4">
            <v>3971000</v>
          </cell>
        </row>
        <row r="5">
          <cell r="A5" t="str">
            <v>312350-372</v>
          </cell>
          <cell r="D5" t="str">
            <v xml:space="preserve">COMPAQ ProSignia 200 </v>
          </cell>
          <cell r="E5" t="str">
            <v>- Pentium II 6/266MHz  Processor</v>
          </cell>
          <cell r="F5" t="str">
            <v>- 32MB ECC SIMM Memory</v>
          </cell>
          <cell r="G5" t="str">
            <v>- 4.3 GB HDD</v>
          </cell>
          <cell r="H5" t="str">
            <v>- 고속 512KB  cache</v>
          </cell>
          <cell r="I5" t="str">
            <v>- PCI System Arch</v>
          </cell>
          <cell r="J5" t="str">
            <v>- 3.5" 1.44MB FDD</v>
          </cell>
          <cell r="K5" t="str">
            <v>- 16X CD-ROM Drive</v>
          </cell>
          <cell r="L5" t="str">
            <v>- 3 PCI, 1 ISA, 1 PCI/ISA Slot</v>
          </cell>
          <cell r="M5" t="str">
            <v>- 내장 Netelligent 10/100 TX PCI UTP Controller</v>
          </cell>
          <cell r="R5">
            <v>4901000</v>
          </cell>
        </row>
        <row r="6">
          <cell r="A6" t="str">
            <v>332510-371</v>
          </cell>
          <cell r="D6" t="str">
            <v xml:space="preserve">COMPAQ ProSignia 200 </v>
          </cell>
          <cell r="E6" t="str">
            <v>- Pentium II 6/300MHz  Processor</v>
          </cell>
          <cell r="F6" t="str">
            <v>- 32MB ECC SIMM Memory</v>
          </cell>
          <cell r="G6" t="str">
            <v>- NO HDD</v>
          </cell>
          <cell r="H6" t="str">
            <v>- 고속 512KB  cache</v>
          </cell>
          <cell r="I6" t="str">
            <v>- PCI System Arch</v>
          </cell>
          <cell r="J6" t="str">
            <v>- 3.5" 1.44MB FDD</v>
          </cell>
          <cell r="K6" t="str">
            <v>- 16X CD-ROM Drive</v>
          </cell>
          <cell r="L6" t="str">
            <v>- 3 PCI, 1 ISA, 1 PCI/ISA Slot</v>
          </cell>
          <cell r="M6" t="str">
            <v>- 내장 Netelligent 10/100 TX PCI UTP Controller</v>
          </cell>
          <cell r="R6">
            <v>6851000</v>
          </cell>
        </row>
        <row r="7">
          <cell r="A7" t="str">
            <v>332510-372</v>
          </cell>
          <cell r="D7" t="str">
            <v xml:space="preserve">COMPAQ ProSignia 200 </v>
          </cell>
          <cell r="E7" t="str">
            <v>- Pentium II 6/300MHz  Processor</v>
          </cell>
          <cell r="F7" t="str">
            <v>- 32MB ECC SIMM Memory</v>
          </cell>
          <cell r="G7" t="str">
            <v>- 4.3 GB HDD</v>
          </cell>
          <cell r="H7" t="str">
            <v>- 고속 512KB  cache</v>
          </cell>
          <cell r="I7" t="str">
            <v>- PCI System Arch</v>
          </cell>
          <cell r="J7" t="str">
            <v>- 3.5" 1.44MB FDD</v>
          </cell>
          <cell r="K7" t="str">
            <v>- 16X CD-ROM Drive</v>
          </cell>
          <cell r="L7" t="str">
            <v>- 3 PCI, 1 ISA, 1 PCI/ISA Slot</v>
          </cell>
          <cell r="M7" t="str">
            <v>- 내장 Netelligent 10/100 TX PCI UTP Controller</v>
          </cell>
          <cell r="R7">
            <v>8472000</v>
          </cell>
        </row>
        <row r="8">
          <cell r="A8" t="str">
            <v>146742-004</v>
          </cell>
          <cell r="B8" t="str">
            <v>HDD</v>
          </cell>
          <cell r="C8">
            <v>123</v>
          </cell>
          <cell r="D8" t="str">
            <v>2.1 GB Pluggable Fast SCSI-2(1.6") Drive</v>
          </cell>
          <cell r="R8">
            <v>1427000</v>
          </cell>
        </row>
        <row r="9">
          <cell r="A9" t="str">
            <v>242583-001</v>
          </cell>
          <cell r="B9" t="str">
            <v>HDD</v>
          </cell>
          <cell r="D9" t="str">
            <v>2.1 GB Pluggable Wide Ultra SCSI-3(1.0") Drive</v>
          </cell>
          <cell r="R9">
            <v>1427000</v>
          </cell>
        </row>
        <row r="10">
          <cell r="A10" t="str">
            <v>146742-005</v>
          </cell>
          <cell r="D10" t="str">
            <v>4.3 GB Pluggable Fast SCSI-2(1.6") Drive</v>
          </cell>
          <cell r="R10">
            <v>2065000</v>
          </cell>
        </row>
        <row r="11">
          <cell r="A11" t="str">
            <v>272577-001</v>
          </cell>
          <cell r="D11" t="str">
            <v>4.3 GB Pluggable Wide Ultra SCSI-3(1.0") Drive</v>
          </cell>
          <cell r="R11">
            <v>2065000</v>
          </cell>
        </row>
        <row r="12">
          <cell r="A12" t="str">
            <v>304859-B21</v>
          </cell>
          <cell r="D12" t="str">
            <v>4.3 GB Pluggable Wide Ultra 10K SCSI-3(1.0") Drive</v>
          </cell>
          <cell r="R12">
            <v>2421000</v>
          </cell>
        </row>
        <row r="13">
          <cell r="A13" t="str">
            <v>199882-001</v>
          </cell>
          <cell r="D13" t="str">
            <v>9.1 GB Pluggable Wide Ultra SCSI-3(1.6") Drive</v>
          </cell>
          <cell r="R13">
            <v>3388000</v>
          </cell>
        </row>
        <row r="14">
          <cell r="A14" t="str">
            <v>313706-B21</v>
          </cell>
          <cell r="D14" t="str">
            <v>9.1 GB Pluggable Wide Ultra SCSI-3(1.0") Drive</v>
          </cell>
          <cell r="R14">
            <v>3388000</v>
          </cell>
        </row>
        <row r="15">
          <cell r="A15" t="str">
            <v>304865-B21</v>
          </cell>
          <cell r="D15" t="str">
            <v>9.1 GB Pluggable Wide Ultra 10K SCSI-3(1.6") Drive</v>
          </cell>
          <cell r="R15">
            <v>4022000</v>
          </cell>
        </row>
        <row r="16">
          <cell r="A16" t="str">
            <v>313756-B21</v>
          </cell>
          <cell r="D16" t="str">
            <v>18.2 GB Pluggable Wide Ultra SCSI-3(1.6") Drive</v>
          </cell>
          <cell r="R16">
            <v>7053000</v>
          </cell>
        </row>
        <row r="17">
          <cell r="A17" t="str">
            <v>273736-B21</v>
          </cell>
          <cell r="D17" t="str">
            <v>1.6 GB IDE Hard Drive</v>
          </cell>
          <cell r="R17">
            <v>719000</v>
          </cell>
        </row>
        <row r="18">
          <cell r="A18" t="str">
            <v>273737-B21</v>
          </cell>
          <cell r="D18" t="str">
            <v>2.5 GB IDE Hard Drive</v>
          </cell>
          <cell r="R18">
            <v>768000</v>
          </cell>
        </row>
        <row r="19">
          <cell r="A19" t="str">
            <v>283856-B21</v>
          </cell>
          <cell r="D19" t="str">
            <v>3.8 GB IDE Hard Drive</v>
          </cell>
          <cell r="R19">
            <v>1124000</v>
          </cell>
        </row>
        <row r="20">
          <cell r="A20" t="str">
            <v>312372-B21</v>
          </cell>
          <cell r="D20" t="str">
            <v>3.2 GB IDE Hard Drive</v>
          </cell>
          <cell r="R20">
            <v>882000</v>
          </cell>
        </row>
        <row r="21">
          <cell r="A21" t="str">
            <v>312361-B21</v>
          </cell>
          <cell r="D21" t="str">
            <v>5.2 GB IDE Hard Drive</v>
          </cell>
          <cell r="R21">
            <v>1252000</v>
          </cell>
        </row>
        <row r="22">
          <cell r="A22" t="str">
            <v>142216-001</v>
          </cell>
          <cell r="D22" t="str">
            <v>2.1 GB Fast SCSI-2(1.6") Drive</v>
          </cell>
          <cell r="R22">
            <v>1246000</v>
          </cell>
        </row>
        <row r="23">
          <cell r="A23" t="str">
            <v>242586-001</v>
          </cell>
          <cell r="D23" t="str">
            <v>2.1 GB Wide Ultra SCSI(1.0") Drive</v>
          </cell>
          <cell r="R23">
            <v>1246000</v>
          </cell>
        </row>
        <row r="24">
          <cell r="A24" t="str">
            <v>199580-001</v>
          </cell>
          <cell r="D24" t="str">
            <v>4.3 GB Fast SCSI-2(1.6") Drive</v>
          </cell>
          <cell r="R24">
            <v>1883000</v>
          </cell>
        </row>
        <row r="25">
          <cell r="A25" t="str">
            <v>242584-001</v>
          </cell>
          <cell r="D25" t="str">
            <v>4.3 GB Wide Ultra SCSI(1.0") Drive</v>
          </cell>
          <cell r="R25">
            <v>1883000</v>
          </cell>
        </row>
        <row r="26">
          <cell r="A26" t="str">
            <v>304858-B01</v>
          </cell>
          <cell r="D26" t="str">
            <v>4.3 GB Wide Ultra 10K SCSI-3(1.0") Drive</v>
          </cell>
          <cell r="R26">
            <v>2239000</v>
          </cell>
        </row>
        <row r="27">
          <cell r="A27" t="str">
            <v>199883-001</v>
          </cell>
          <cell r="D27" t="str">
            <v>9.1 GB Fast SCSI-2(1.6") Drive</v>
          </cell>
          <cell r="R27">
            <v>3206000</v>
          </cell>
        </row>
        <row r="28">
          <cell r="A28" t="str">
            <v>199884-001</v>
          </cell>
          <cell r="D28" t="str">
            <v>9.1 GB Wide Ultra SCSI(1.0") Drive</v>
          </cell>
          <cell r="R28">
            <v>3206000</v>
          </cell>
        </row>
        <row r="29">
          <cell r="A29" t="str">
            <v>313707-B21</v>
          </cell>
          <cell r="D29" t="str">
            <v>9.1 GB Wide Ultra  SCSI-3(1.0") Drive</v>
          </cell>
          <cell r="R29">
            <v>3206000</v>
          </cell>
        </row>
        <row r="30">
          <cell r="A30" t="str">
            <v>304864-B21</v>
          </cell>
          <cell r="D30" t="str">
            <v>9.1 GB Wide Ultra 10K SCSI-3(1.6") Drive</v>
          </cell>
          <cell r="R30">
            <v>3841000</v>
          </cell>
        </row>
        <row r="31">
          <cell r="A31" t="str">
            <v>304114-B31</v>
          </cell>
          <cell r="D31" t="str">
            <v>PLT Storage System/U model 1 (Single Bus)</v>
          </cell>
          <cell r="R31">
            <v>268800</v>
          </cell>
        </row>
        <row r="32">
          <cell r="A32" t="str">
            <v>304114-B32</v>
          </cell>
          <cell r="D32" t="str">
            <v>PLT Storage System/U model 2 (Dual Bus)</v>
          </cell>
          <cell r="R32">
            <v>3270000</v>
          </cell>
        </row>
        <row r="33">
          <cell r="A33" t="str">
            <v>304104-B31</v>
          </cell>
          <cell r="D33" t="str">
            <v>PLT Storage System Rack model 1 (Single Bus)</v>
          </cell>
          <cell r="R33">
            <v>3136000</v>
          </cell>
        </row>
        <row r="34">
          <cell r="A34" t="str">
            <v>304104-B32</v>
          </cell>
          <cell r="D34" t="str">
            <v>PLT Storage System Rack model 2 (Dual Bus)</v>
          </cell>
          <cell r="R34">
            <v>3718000</v>
          </cell>
        </row>
        <row r="35">
          <cell r="A35" t="str">
            <v>304115-B21</v>
          </cell>
          <cell r="D35" t="str">
            <v>PLT Storage System/U Dual Bus to Single Bus Conversion Kit</v>
          </cell>
          <cell r="O35" t="str">
            <v xml:space="preserve"> </v>
          </cell>
          <cell r="P35" t="str">
            <v xml:space="preserve"> </v>
          </cell>
          <cell r="Q35" t="str">
            <v xml:space="preserve"> </v>
          </cell>
          <cell r="R35">
            <v>1455000</v>
          </cell>
        </row>
        <row r="36">
          <cell r="A36" t="str">
            <v>304116-B21</v>
          </cell>
          <cell r="D36" t="str">
            <v>PLT Storage System/U Single Bus to Dual Bus Conversion Kit</v>
          </cell>
          <cell r="O36" t="str">
            <v xml:space="preserve"> </v>
          </cell>
          <cell r="P36" t="str">
            <v xml:space="preserve"> </v>
          </cell>
          <cell r="Q36" t="str">
            <v xml:space="preserve"> </v>
          </cell>
          <cell r="R36">
            <v>1455000</v>
          </cell>
        </row>
        <row r="37">
          <cell r="A37" t="str">
            <v>304148-B21</v>
          </cell>
          <cell r="D37" t="str">
            <v>PLT Storage System/F to /U Upgrade Kit (Single Bus)</v>
          </cell>
          <cell r="O37" t="str">
            <v xml:space="preserve"> </v>
          </cell>
          <cell r="P37" t="str">
            <v xml:space="preserve"> </v>
          </cell>
          <cell r="Q37" t="str">
            <v xml:space="preserve"> </v>
          </cell>
          <cell r="R37">
            <v>509000</v>
          </cell>
        </row>
        <row r="38">
          <cell r="A38" t="str">
            <v>304149-B21</v>
          </cell>
          <cell r="D38" t="str">
            <v>PLT Storage System/F to /U Upgrade Kit (Dual Bus)</v>
          </cell>
          <cell r="O38" t="str">
            <v xml:space="preserve"> </v>
          </cell>
          <cell r="P38" t="str">
            <v xml:space="preserve"> </v>
          </cell>
          <cell r="Q38" t="str">
            <v xml:space="preserve"> </v>
          </cell>
          <cell r="R38">
            <v>764000</v>
          </cell>
        </row>
        <row r="39">
          <cell r="A39" t="str">
            <v>272891-001</v>
          </cell>
          <cell r="D39" t="str">
            <v>PLT Storage System/U/F Tower to Rack Conversion Kit</v>
          </cell>
          <cell r="O39" t="str">
            <v xml:space="preserve"> </v>
          </cell>
          <cell r="P39" t="str">
            <v xml:space="preserve"> </v>
          </cell>
          <cell r="Q39" t="str">
            <v xml:space="preserve"> </v>
          </cell>
          <cell r="R39">
            <v>764000</v>
          </cell>
        </row>
        <row r="40">
          <cell r="A40" t="str">
            <v>224214-001</v>
          </cell>
          <cell r="D40" t="str">
            <v>PLT Storage System/U/F Redundant Power Supply</v>
          </cell>
          <cell r="O40" t="str">
            <v xml:space="preserve"> </v>
          </cell>
          <cell r="P40" t="str">
            <v xml:space="preserve"> </v>
          </cell>
          <cell r="Q40" t="str">
            <v xml:space="preserve"> </v>
          </cell>
          <cell r="R40">
            <v>1273000</v>
          </cell>
        </row>
        <row r="41">
          <cell r="A41" t="str">
            <v>189640-001</v>
          </cell>
          <cell r="D41" t="str">
            <v>PLT Storage System</v>
          </cell>
          <cell r="O41" t="str">
            <v xml:space="preserve"> </v>
          </cell>
          <cell r="P41" t="str">
            <v xml:space="preserve"> </v>
          </cell>
          <cell r="Q41" t="str">
            <v xml:space="preserve"> </v>
          </cell>
          <cell r="R41">
            <v>2035000</v>
          </cell>
        </row>
        <row r="42">
          <cell r="A42" t="str">
            <v>189905-001</v>
          </cell>
          <cell r="D42" t="str">
            <v>Rack Mount Proliant Storage System</v>
          </cell>
          <cell r="O42" t="str">
            <v xml:space="preserve"> </v>
          </cell>
          <cell r="P42" t="str">
            <v xml:space="preserve"> </v>
          </cell>
          <cell r="Q42" t="str">
            <v xml:space="preserve"> </v>
          </cell>
          <cell r="R42">
            <v>2544000</v>
          </cell>
        </row>
        <row r="43">
          <cell r="A43" t="str">
            <v>272904-001</v>
          </cell>
          <cell r="D43" t="str">
            <v>PLT Storage System/F model 1 (Single Bus)</v>
          </cell>
          <cell r="O43" t="str">
            <v xml:space="preserve"> </v>
          </cell>
          <cell r="P43" t="str">
            <v xml:space="preserve"> </v>
          </cell>
          <cell r="Q43" t="str">
            <v xml:space="preserve"> </v>
          </cell>
          <cell r="R43">
            <v>2688000</v>
          </cell>
        </row>
        <row r="44">
          <cell r="A44" t="str">
            <v>272904-002</v>
          </cell>
          <cell r="D44" t="str">
            <v>PLT Storage System/F model 2 (Dual Bus)</v>
          </cell>
          <cell r="O44" t="str">
            <v xml:space="preserve"> </v>
          </cell>
          <cell r="P44" t="str">
            <v xml:space="preserve"> </v>
          </cell>
          <cell r="Q44" t="str">
            <v xml:space="preserve"> </v>
          </cell>
          <cell r="R44">
            <v>3270000</v>
          </cell>
        </row>
        <row r="45">
          <cell r="A45" t="str">
            <v>272804-001</v>
          </cell>
          <cell r="D45" t="str">
            <v>PLT Storage System Rack Model F1 (Single Bus)</v>
          </cell>
          <cell r="O45" t="str">
            <v xml:space="preserve"> </v>
          </cell>
          <cell r="P45" t="str">
            <v xml:space="preserve"> </v>
          </cell>
          <cell r="Q45" t="str">
            <v xml:space="preserve"> </v>
          </cell>
          <cell r="R45">
            <v>3136000</v>
          </cell>
        </row>
        <row r="46">
          <cell r="A46" t="str">
            <v>272804-002</v>
          </cell>
          <cell r="D46" t="str">
            <v>PLT Storage System Rack Model F2 (Dual Bus)</v>
          </cell>
          <cell r="O46" t="str">
            <v xml:space="preserve"> </v>
          </cell>
          <cell r="P46" t="str">
            <v xml:space="preserve"> </v>
          </cell>
          <cell r="Q46" t="str">
            <v xml:space="preserve"> </v>
          </cell>
          <cell r="R46">
            <v>3718000</v>
          </cell>
        </row>
        <row r="47">
          <cell r="A47" t="str">
            <v>272826-001</v>
          </cell>
          <cell r="D47" t="str">
            <v>PLT Storage System/F Dual Bus to Single Bus Conversion Kit</v>
          </cell>
          <cell r="O47" t="str">
            <v xml:space="preserve"> </v>
          </cell>
          <cell r="P47" t="str">
            <v xml:space="preserve"> </v>
          </cell>
          <cell r="Q47" t="str">
            <v xml:space="preserve"> </v>
          </cell>
          <cell r="R47">
            <v>1120000</v>
          </cell>
        </row>
        <row r="48">
          <cell r="A48" t="str">
            <v>272830-001</v>
          </cell>
          <cell r="D48" t="str">
            <v>PLT Storage System/F Single Bus to Dual Bus Conversion Kit</v>
          </cell>
          <cell r="O48" t="str">
            <v xml:space="preserve"> </v>
          </cell>
          <cell r="P48" t="str">
            <v xml:space="preserve"> </v>
          </cell>
          <cell r="Q48" t="str">
            <v xml:space="preserve"> </v>
          </cell>
          <cell r="R48">
            <v>1120000</v>
          </cell>
        </row>
        <row r="49">
          <cell r="A49" t="str">
            <v>272891-001</v>
          </cell>
          <cell r="D49" t="str">
            <v>PLT Storage System/F Tower to Rack Conversion Kit</v>
          </cell>
          <cell r="O49" t="str">
            <v xml:space="preserve"> </v>
          </cell>
          <cell r="P49" t="str">
            <v xml:space="preserve"> </v>
          </cell>
          <cell r="Q49" t="str">
            <v xml:space="preserve"> </v>
          </cell>
          <cell r="R49">
            <v>672000</v>
          </cell>
        </row>
        <row r="50">
          <cell r="A50" t="str">
            <v>224214-001</v>
          </cell>
          <cell r="D50" t="str">
            <v>PLT Storage System/F Pluggable RPS Option</v>
          </cell>
          <cell r="O50" t="str">
            <v xml:space="preserve"> </v>
          </cell>
          <cell r="P50" t="str">
            <v xml:space="preserve"> </v>
          </cell>
          <cell r="Q50" t="str">
            <v xml:space="preserve"> </v>
          </cell>
          <cell r="R50">
            <v>1120000</v>
          </cell>
        </row>
        <row r="51">
          <cell r="A51" t="str">
            <v>197125-001</v>
          </cell>
          <cell r="D51" t="str">
            <v>PLT Duplexing Option</v>
          </cell>
          <cell r="O51" t="str">
            <v xml:space="preserve"> </v>
          </cell>
          <cell r="P51" t="str">
            <v xml:space="preserve"> </v>
          </cell>
          <cell r="Q51" t="str">
            <v xml:space="preserve"> </v>
          </cell>
          <cell r="R51">
            <v>481000</v>
          </cell>
        </row>
        <row r="52">
          <cell r="A52" t="str">
            <v>199614-001</v>
          </cell>
          <cell r="D52" t="str">
            <v>PLT Fast-Wide Duplexing Option</v>
          </cell>
          <cell r="O52" t="str">
            <v xml:space="preserve"> </v>
          </cell>
          <cell r="P52" t="str">
            <v xml:space="preserve"> </v>
          </cell>
          <cell r="Q52" t="str">
            <v xml:space="preserve"> </v>
          </cell>
          <cell r="R52">
            <v>650000</v>
          </cell>
        </row>
        <row r="53">
          <cell r="A53" t="str">
            <v>264368-001</v>
          </cell>
          <cell r="D53" t="str">
            <v>Duplexing Drive Cage Option Kit for PL 1.2K, 2.5K</v>
          </cell>
          <cell r="O53" t="str">
            <v xml:space="preserve"> </v>
          </cell>
          <cell r="P53" t="str">
            <v xml:space="preserve"> </v>
          </cell>
          <cell r="Q53" t="str">
            <v xml:space="preserve"> </v>
          </cell>
          <cell r="R53">
            <v>1018000</v>
          </cell>
        </row>
        <row r="54">
          <cell r="A54" t="str">
            <v>142185-001</v>
          </cell>
          <cell r="D54" t="str">
            <v>Compaq SCSI Storage Expander</v>
          </cell>
          <cell r="O54" t="str">
            <v xml:space="preserve"> </v>
          </cell>
          <cell r="P54" t="str">
            <v xml:space="preserve"> </v>
          </cell>
          <cell r="Q54" t="str">
            <v xml:space="preserve"> </v>
          </cell>
          <cell r="R54">
            <v>546000</v>
          </cell>
        </row>
        <row r="55">
          <cell r="A55" t="str">
            <v>165620-001</v>
          </cell>
          <cell r="D55" t="str">
            <v>Rack Mount SCSI Storage Expander</v>
          </cell>
          <cell r="O55" t="str">
            <v xml:space="preserve"> </v>
          </cell>
          <cell r="P55" t="str">
            <v xml:space="preserve"> </v>
          </cell>
          <cell r="Q55" t="str">
            <v xml:space="preserve"> </v>
          </cell>
          <cell r="R55">
            <v>1507000</v>
          </cell>
        </row>
        <row r="56">
          <cell r="A56" t="str">
            <v>194751-001</v>
          </cell>
          <cell r="D56" t="str">
            <v>SMART-2/E Arrary Controller</v>
          </cell>
          <cell r="O56" t="str">
            <v xml:space="preserve"> </v>
          </cell>
          <cell r="P56" t="str">
            <v xml:space="preserve"> </v>
          </cell>
          <cell r="Q56" t="str">
            <v xml:space="preserve"> </v>
          </cell>
          <cell r="R56">
            <v>3623000</v>
          </cell>
        </row>
        <row r="57">
          <cell r="A57" t="str">
            <v>242776-B21</v>
          </cell>
          <cell r="D57" t="str">
            <v>SMART-2SL Arrary Controller</v>
          </cell>
          <cell r="O57" t="str">
            <v xml:space="preserve"> </v>
          </cell>
          <cell r="P57" t="str">
            <v xml:space="preserve"> </v>
          </cell>
          <cell r="Q57" t="str">
            <v xml:space="preserve"> </v>
          </cell>
          <cell r="R57">
            <v>1425000</v>
          </cell>
        </row>
        <row r="58">
          <cell r="A58" t="str">
            <v>295242-B21</v>
          </cell>
          <cell r="D58" t="str">
            <v>SMART-2DH Arrary Controller (Dazzler-2)</v>
          </cell>
          <cell r="O58" t="str">
            <v xml:space="preserve"> </v>
          </cell>
          <cell r="P58" t="str">
            <v xml:space="preserve"> </v>
          </cell>
          <cell r="Q58" t="str">
            <v xml:space="preserve"> </v>
          </cell>
          <cell r="R58">
            <v>3623000</v>
          </cell>
        </row>
        <row r="59">
          <cell r="A59" t="str">
            <v>295352-B21</v>
          </cell>
          <cell r="D59" t="str">
            <v>16MB Cache Upgrade Kit for SNART-2/P Arrary Controller</v>
          </cell>
          <cell r="O59" t="str">
            <v xml:space="preserve"> </v>
          </cell>
          <cell r="P59" t="str">
            <v xml:space="preserve"> </v>
          </cell>
          <cell r="Q59" t="str">
            <v xml:space="preserve"> </v>
          </cell>
          <cell r="R59">
            <v>1222000</v>
          </cell>
        </row>
        <row r="60">
          <cell r="A60" t="str">
            <v>142290-001</v>
          </cell>
          <cell r="D60" t="str">
            <v>32bit Fast &amp; Wide SCSI-2/E Controller</v>
          </cell>
          <cell r="O60" t="str">
            <v xml:space="preserve"> </v>
          </cell>
          <cell r="P60" t="str">
            <v xml:space="preserve"> </v>
          </cell>
          <cell r="Q60" t="str">
            <v xml:space="preserve"> </v>
          </cell>
          <cell r="R60">
            <v>571000</v>
          </cell>
        </row>
        <row r="61">
          <cell r="A61" t="str">
            <v>272514-001</v>
          </cell>
          <cell r="D61" t="str">
            <v>32 bit Wide Ultra SCSI/P Controller</v>
          </cell>
          <cell r="O61" t="str">
            <v xml:space="preserve"> </v>
          </cell>
          <cell r="P61" t="str">
            <v xml:space="preserve"> </v>
          </cell>
          <cell r="Q61" t="str">
            <v xml:space="preserve"> </v>
          </cell>
          <cell r="R61">
            <v>571000</v>
          </cell>
        </row>
        <row r="62">
          <cell r="A62" t="str">
            <v>295554-B21</v>
          </cell>
          <cell r="D62" t="str">
            <v>Dual Channel PCI Wide Ultra SCSI-3 Controller</v>
          </cell>
          <cell r="O62" t="str">
            <v xml:space="preserve"> </v>
          </cell>
          <cell r="P62" t="str">
            <v xml:space="preserve"> </v>
          </cell>
          <cell r="Q62" t="str">
            <v xml:space="preserve"> </v>
          </cell>
          <cell r="R62">
            <v>864000</v>
          </cell>
        </row>
        <row r="63">
          <cell r="A63" t="str">
            <v>213817-001</v>
          </cell>
          <cell r="D63" t="str">
            <v>Recovery Server Option Kit (for PL Storage Sys)</v>
          </cell>
          <cell r="O63" t="str">
            <v xml:space="preserve"> </v>
          </cell>
          <cell r="P63" t="str">
            <v xml:space="preserve"> </v>
          </cell>
          <cell r="Q63" t="str">
            <v xml:space="preserve"> </v>
          </cell>
          <cell r="R63">
            <v>2311000</v>
          </cell>
        </row>
        <row r="64">
          <cell r="A64" t="str">
            <v>272829-001</v>
          </cell>
          <cell r="D64" t="str">
            <v>Recovery Server Option Kit (for PL Storage Sys/F)</v>
          </cell>
          <cell r="O64" t="str">
            <v xml:space="preserve"> </v>
          </cell>
          <cell r="P64" t="str">
            <v xml:space="preserve"> </v>
          </cell>
          <cell r="Q64" t="str">
            <v xml:space="preserve"> </v>
          </cell>
          <cell r="R64">
            <v>3055000</v>
          </cell>
        </row>
        <row r="65">
          <cell r="A65" t="str">
            <v>199748-002</v>
          </cell>
          <cell r="D65" t="str">
            <v>Remote Insight Board</v>
          </cell>
          <cell r="O65" t="str">
            <v xml:space="preserve"> </v>
          </cell>
          <cell r="P65" t="str">
            <v xml:space="preserve"> </v>
          </cell>
          <cell r="Q65" t="str">
            <v xml:space="preserve"> </v>
          </cell>
          <cell r="R65">
            <v>1909000</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E44"/>
  <sheetViews>
    <sheetView topLeftCell="A4" zoomScale="130" zoomScaleNormal="130" workbookViewId="0">
      <selection activeCell="F29" sqref="F29"/>
    </sheetView>
  </sheetViews>
  <sheetFormatPr defaultColWidth="8.88671875" defaultRowHeight="13.5"/>
  <cols>
    <col min="1" max="1" width="2.33203125" style="1" customWidth="1"/>
    <col min="2" max="10" width="8.88671875" style="1"/>
    <col min="11" max="11" width="8.88671875" style="1" customWidth="1"/>
    <col min="12" max="16384" width="8.88671875" style="1"/>
  </cols>
  <sheetData>
    <row r="4" spans="2:5">
      <c r="B4" s="3" t="s">
        <v>65</v>
      </c>
      <c r="C4" s="2"/>
      <c r="D4" s="2"/>
      <c r="E4" s="2"/>
    </row>
    <row r="5" spans="2:5">
      <c r="B5" s="2"/>
      <c r="C5" s="2" t="s">
        <v>44</v>
      </c>
      <c r="D5" s="2"/>
      <c r="E5" s="2"/>
    </row>
    <row r="6" spans="2:5">
      <c r="B6" s="2"/>
      <c r="C6" s="2" t="s">
        <v>66</v>
      </c>
      <c r="D6" s="2"/>
      <c r="E6" s="2"/>
    </row>
    <row r="7" spans="2:5">
      <c r="B7" s="2" t="s">
        <v>45</v>
      </c>
      <c r="C7" s="2"/>
      <c r="D7" s="2"/>
      <c r="E7" s="2"/>
    </row>
    <row r="8" spans="2:5">
      <c r="B8" s="3" t="s">
        <v>67</v>
      </c>
      <c r="C8" s="2"/>
      <c r="D8" s="2"/>
      <c r="E8" s="2"/>
    </row>
    <row r="9" spans="2:5">
      <c r="B9" s="2"/>
      <c r="C9" s="2" t="s">
        <v>68</v>
      </c>
      <c r="D9" s="2"/>
      <c r="E9" s="2"/>
    </row>
    <row r="10" spans="2:5">
      <c r="B10" s="2"/>
      <c r="C10" s="2" t="s">
        <v>69</v>
      </c>
      <c r="D10" s="2"/>
      <c r="E10" s="2"/>
    </row>
    <row r="11" spans="2:5">
      <c r="B11" s="2"/>
      <c r="C11" s="2"/>
      <c r="D11" s="2"/>
      <c r="E11" s="2"/>
    </row>
    <row r="12" spans="2:5">
      <c r="B12" s="3" t="s">
        <v>70</v>
      </c>
      <c r="C12" s="2"/>
      <c r="D12" s="2"/>
      <c r="E12" s="2"/>
    </row>
    <row r="13" spans="2:5">
      <c r="B13" s="2"/>
      <c r="C13" s="2" t="s">
        <v>71</v>
      </c>
      <c r="D13" s="2"/>
      <c r="E13" s="2"/>
    </row>
    <row r="14" spans="2:5">
      <c r="B14" s="2"/>
      <c r="C14" s="2" t="s">
        <v>72</v>
      </c>
      <c r="D14" s="2"/>
      <c r="E14" s="2"/>
    </row>
    <row r="15" spans="2:5">
      <c r="B15" s="2"/>
      <c r="C15" s="2"/>
      <c r="D15" s="2"/>
      <c r="E15" s="2"/>
    </row>
    <row r="16" spans="2:5">
      <c r="B16" s="3" t="s">
        <v>74</v>
      </c>
      <c r="C16" s="2"/>
      <c r="D16" s="2"/>
      <c r="E16" s="2"/>
    </row>
    <row r="17" spans="2:5">
      <c r="B17" s="2"/>
      <c r="C17" s="2" t="s">
        <v>75</v>
      </c>
      <c r="D17" s="2"/>
      <c r="E17" s="2"/>
    </row>
    <row r="18" spans="2:5">
      <c r="B18" s="2"/>
      <c r="C18" s="2"/>
      <c r="D18" s="2"/>
      <c r="E18" s="2"/>
    </row>
    <row r="19" spans="2:5">
      <c r="B19" s="3" t="s">
        <v>73</v>
      </c>
      <c r="C19" s="2"/>
      <c r="D19" s="2"/>
      <c r="E19" s="2"/>
    </row>
    <row r="20" spans="2:5">
      <c r="B20" s="2"/>
      <c r="C20" s="2" t="s">
        <v>46</v>
      </c>
      <c r="D20" s="2"/>
      <c r="E20" s="2"/>
    </row>
    <row r="21" spans="2:5" ht="9.75" customHeight="1">
      <c r="B21" s="2"/>
      <c r="C21" s="2"/>
      <c r="D21" s="2"/>
      <c r="E21" s="2"/>
    </row>
    <row r="22" spans="2:5" ht="9.75" customHeight="1">
      <c r="B22" s="2"/>
      <c r="C22" s="2"/>
      <c r="D22" s="2"/>
      <c r="E22" s="2"/>
    </row>
    <row r="23" spans="2:5">
      <c r="B23" s="2"/>
      <c r="C23" s="2"/>
      <c r="D23" s="2"/>
      <c r="E23" s="2"/>
    </row>
    <row r="24" spans="2:5">
      <c r="B24" s="2"/>
      <c r="C24" s="2"/>
      <c r="D24" s="2"/>
      <c r="E24" s="2"/>
    </row>
    <row r="25" spans="2:5">
      <c r="B25" s="3" t="s">
        <v>47</v>
      </c>
      <c r="C25" s="2"/>
      <c r="D25" s="2"/>
      <c r="E25" s="2"/>
    </row>
    <row r="26" spans="2:5">
      <c r="B26" s="4" t="s">
        <v>63</v>
      </c>
      <c r="C26" s="2"/>
      <c r="D26" s="2"/>
      <c r="E26" s="2"/>
    </row>
    <row r="27" spans="2:5">
      <c r="B27" s="2" t="s">
        <v>51</v>
      </c>
      <c r="C27" s="2"/>
      <c r="D27" s="2"/>
      <c r="E27" s="2"/>
    </row>
    <row r="28" spans="2:5">
      <c r="B28" s="2" t="s">
        <v>52</v>
      </c>
      <c r="C28" s="2"/>
      <c r="D28" s="2"/>
      <c r="E28" s="2"/>
    </row>
    <row r="29" spans="2:5">
      <c r="B29" s="2" t="s">
        <v>53</v>
      </c>
      <c r="C29" s="2"/>
      <c r="D29" s="2"/>
      <c r="E29" s="2"/>
    </row>
    <row r="30" spans="2:5">
      <c r="B30" s="2" t="s">
        <v>54</v>
      </c>
      <c r="C30" s="2"/>
      <c r="D30" s="2"/>
      <c r="E30" s="2"/>
    </row>
    <row r="31" spans="2:5">
      <c r="B31" s="2"/>
      <c r="C31" s="2"/>
      <c r="D31" s="2"/>
      <c r="E31" s="2"/>
    </row>
    <row r="32" spans="2:5">
      <c r="B32" s="3" t="s">
        <v>48</v>
      </c>
      <c r="C32" s="2"/>
      <c r="D32" s="2"/>
      <c r="E32" s="2"/>
    </row>
    <row r="33" spans="2:5">
      <c r="B33" s="2" t="s">
        <v>55</v>
      </c>
      <c r="C33" s="2"/>
      <c r="D33" s="2"/>
      <c r="E33" s="2"/>
    </row>
    <row r="34" spans="2:5">
      <c r="B34" s="2" t="s">
        <v>56</v>
      </c>
      <c r="C34" s="2"/>
      <c r="D34" s="2"/>
      <c r="E34" s="2"/>
    </row>
    <row r="35" spans="2:5">
      <c r="B35" s="2" t="s">
        <v>57</v>
      </c>
      <c r="C35" s="2"/>
      <c r="D35" s="2"/>
      <c r="E35" s="2"/>
    </row>
    <row r="36" spans="2:5">
      <c r="B36" s="2"/>
      <c r="C36" s="2"/>
      <c r="D36" s="2"/>
      <c r="E36" s="2"/>
    </row>
    <row r="37" spans="2:5">
      <c r="B37" s="3" t="s">
        <v>49</v>
      </c>
      <c r="C37" s="2"/>
      <c r="D37" s="2"/>
      <c r="E37" s="2"/>
    </row>
    <row r="38" spans="2:5">
      <c r="B38" s="2" t="s">
        <v>58</v>
      </c>
      <c r="C38" s="2"/>
      <c r="D38" s="2"/>
      <c r="E38" s="2"/>
    </row>
    <row r="39" spans="2:5">
      <c r="B39" s="2" t="s">
        <v>59</v>
      </c>
      <c r="C39" s="2"/>
      <c r="D39" s="2"/>
      <c r="E39" s="2"/>
    </row>
    <row r="40" spans="2:5">
      <c r="B40" s="2"/>
      <c r="C40" s="2"/>
      <c r="D40" s="2"/>
      <c r="E40" s="2"/>
    </row>
    <row r="41" spans="2:5">
      <c r="B41" s="3" t="s">
        <v>50</v>
      </c>
      <c r="C41" s="2"/>
      <c r="D41" s="2"/>
      <c r="E41" s="2"/>
    </row>
    <row r="42" spans="2:5">
      <c r="B42" s="2" t="s">
        <v>60</v>
      </c>
      <c r="C42" s="2"/>
      <c r="D42" s="2"/>
      <c r="E42" s="2"/>
    </row>
    <row r="43" spans="2:5">
      <c r="B43" s="2" t="s">
        <v>62</v>
      </c>
      <c r="C43" s="2"/>
      <c r="D43" s="2"/>
      <c r="E43" s="2"/>
    </row>
    <row r="44" spans="2:5">
      <c r="B44" s="2"/>
      <c r="C44" s="2"/>
      <c r="D44" s="2"/>
      <c r="E44" s="2"/>
    </row>
  </sheetData>
  <phoneticPr fontId="3" type="noConversion"/>
  <printOptions horizontalCentered="1" verticalCentered="1"/>
  <pageMargins left="0.39370078740157483" right="0.39370078740157483" top="0.39370078740157483" bottom="0.39370078740157483" header="0.39370078740157483" footer="0.39370078740157483"/>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63"/>
  </sheetPr>
  <dimension ref="B1:AD70"/>
  <sheetViews>
    <sheetView tabSelected="1" zoomScale="115" zoomScaleNormal="115" workbookViewId="0">
      <selection activeCell="J12" sqref="J12"/>
    </sheetView>
  </sheetViews>
  <sheetFormatPr defaultColWidth="8.88671875" defaultRowHeight="12"/>
  <cols>
    <col min="1" max="1" width="1.77734375" style="16" customWidth="1"/>
    <col min="2" max="2" width="8.21875" style="16" customWidth="1"/>
    <col min="3" max="3" width="10" style="16" bestFit="1" customWidth="1"/>
    <col min="4" max="4" width="12.21875" style="16" customWidth="1"/>
    <col min="5" max="5" width="11" style="16" bestFit="1" customWidth="1"/>
    <col min="6" max="6" width="10.6640625" style="16" bestFit="1" customWidth="1"/>
    <col min="7" max="7" width="4.44140625" style="16" bestFit="1" customWidth="1"/>
    <col min="8" max="8" width="8.21875" style="16" bestFit="1" customWidth="1"/>
    <col min="9" max="9" width="3.77734375" style="17" bestFit="1" customWidth="1"/>
    <col min="10" max="10" width="9.21875" style="16" customWidth="1"/>
    <col min="11" max="11" width="8.109375" style="16" customWidth="1"/>
    <col min="12" max="12" width="7.6640625" style="16" bestFit="1" customWidth="1"/>
    <col min="13" max="25" width="7.5546875" style="16" bestFit="1" customWidth="1"/>
    <col min="26" max="27" width="6" style="16" bestFit="1" customWidth="1"/>
    <col min="28" max="30" width="9.6640625" style="16" bestFit="1" customWidth="1"/>
    <col min="31" max="16384" width="8.88671875" style="16"/>
  </cols>
  <sheetData>
    <row r="1" spans="2:30" s="174" customFormat="1" ht="6.75" customHeight="1">
      <c r="I1" s="175"/>
      <c r="O1" s="175"/>
      <c r="P1" s="175"/>
    </row>
    <row r="2" spans="2:30" ht="24" customHeight="1">
      <c r="B2" s="173" t="s">
        <v>110</v>
      </c>
      <c r="C2" s="176"/>
      <c r="D2" s="176"/>
      <c r="K2" s="170"/>
      <c r="M2" s="18"/>
      <c r="N2" s="18"/>
      <c r="O2" s="18"/>
      <c r="P2" s="18"/>
      <c r="Q2" s="18"/>
      <c r="R2" s="18"/>
    </row>
    <row r="3" spans="2:30" ht="18" customHeight="1">
      <c r="B3" s="173"/>
      <c r="C3" s="176"/>
      <c r="D3" s="176"/>
      <c r="K3" s="170"/>
      <c r="M3" s="18"/>
      <c r="N3" s="18"/>
      <c r="O3" s="18"/>
      <c r="P3" s="18"/>
      <c r="Q3" s="18"/>
      <c r="R3" s="18"/>
    </row>
    <row r="4" spans="2:30" ht="20.100000000000001" customHeight="1" thickBot="1">
      <c r="B4" s="19" t="s">
        <v>16</v>
      </c>
      <c r="H4" s="170"/>
      <c r="J4" s="170"/>
      <c r="K4" s="20" t="s">
        <v>17</v>
      </c>
      <c r="L4" s="21">
        <v>21</v>
      </c>
      <c r="M4" s="22"/>
      <c r="N4" s="23"/>
      <c r="O4" s="22"/>
      <c r="P4" s="22"/>
      <c r="Q4" s="23"/>
      <c r="R4" s="22"/>
      <c r="S4" s="24"/>
      <c r="T4" s="25"/>
      <c r="U4" s="25"/>
      <c r="V4" s="25"/>
      <c r="W4" s="25"/>
      <c r="X4" s="25"/>
      <c r="Y4" s="25"/>
      <c r="Z4" s="25"/>
      <c r="AA4" s="25"/>
      <c r="AB4" s="25"/>
      <c r="AC4" s="25"/>
      <c r="AD4" s="25"/>
    </row>
    <row r="5" spans="2:30">
      <c r="B5" s="377" t="s">
        <v>5</v>
      </c>
      <c r="C5" s="378"/>
      <c r="D5" s="378"/>
      <c r="E5" s="378"/>
      <c r="F5" s="379"/>
      <c r="G5" s="383" t="s">
        <v>33</v>
      </c>
      <c r="H5" s="384"/>
      <c r="I5" s="384"/>
      <c r="J5" s="385"/>
      <c r="K5" s="383" t="s">
        <v>18</v>
      </c>
      <c r="L5" s="384"/>
      <c r="M5" s="384"/>
      <c r="N5" s="384"/>
      <c r="O5" s="384"/>
      <c r="P5" s="384"/>
      <c r="Q5" s="384"/>
      <c r="R5" s="384"/>
      <c r="S5" s="384"/>
      <c r="T5" s="384"/>
      <c r="U5" s="384"/>
      <c r="V5" s="384"/>
      <c r="W5" s="384"/>
      <c r="X5" s="384"/>
      <c r="Y5" s="384"/>
      <c r="Z5" s="384"/>
      <c r="AA5" s="384"/>
      <c r="AB5" s="384"/>
      <c r="AC5" s="384"/>
      <c r="AD5" s="385"/>
    </row>
    <row r="6" spans="2:30">
      <c r="B6" s="380"/>
      <c r="C6" s="381"/>
      <c r="D6" s="381"/>
      <c r="E6" s="381"/>
      <c r="F6" s="382"/>
      <c r="G6" s="398" t="s">
        <v>11</v>
      </c>
      <c r="H6" s="399"/>
      <c r="I6" s="399" t="s">
        <v>10</v>
      </c>
      <c r="J6" s="400"/>
      <c r="K6" s="401">
        <v>43534</v>
      </c>
      <c r="L6" s="402"/>
      <c r="M6" s="387">
        <f>K6+30</f>
        <v>43564</v>
      </c>
      <c r="N6" s="388"/>
      <c r="O6" s="362">
        <f>M6+30</f>
        <v>43594</v>
      </c>
      <c r="P6" s="363"/>
      <c r="Q6" s="387">
        <f>O6+30</f>
        <v>43624</v>
      </c>
      <c r="R6" s="388"/>
      <c r="S6" s="375">
        <f>Q6+30</f>
        <v>43654</v>
      </c>
      <c r="T6" s="375"/>
      <c r="U6" s="375">
        <f>S6+30</f>
        <v>43684</v>
      </c>
      <c r="V6" s="375"/>
      <c r="W6" s="375">
        <f>U6+30</f>
        <v>43714</v>
      </c>
      <c r="X6" s="375"/>
      <c r="Y6" s="375">
        <f>W6+30</f>
        <v>43744</v>
      </c>
      <c r="Z6" s="376"/>
      <c r="AA6" s="375">
        <f>Y6+30</f>
        <v>43774</v>
      </c>
      <c r="AB6" s="375"/>
      <c r="AC6" s="375">
        <f>AA6+30</f>
        <v>43804</v>
      </c>
      <c r="AD6" s="376"/>
    </row>
    <row r="7" spans="2:30" ht="12.75" thickBot="1">
      <c r="B7" s="13" t="s">
        <v>19</v>
      </c>
      <c r="C7" s="26" t="s">
        <v>20</v>
      </c>
      <c r="D7" s="26" t="s">
        <v>21</v>
      </c>
      <c r="E7" s="26" t="s">
        <v>61</v>
      </c>
      <c r="F7" s="27" t="s">
        <v>22</v>
      </c>
      <c r="G7" s="13" t="s">
        <v>7</v>
      </c>
      <c r="H7" s="26" t="s">
        <v>6</v>
      </c>
      <c r="I7" s="26" t="s">
        <v>7</v>
      </c>
      <c r="J7" s="27" t="s">
        <v>6</v>
      </c>
      <c r="K7" s="13" t="s">
        <v>11</v>
      </c>
      <c r="L7" s="28" t="s">
        <v>10</v>
      </c>
      <c r="M7" s="29" t="s">
        <v>11</v>
      </c>
      <c r="N7" s="30" t="s">
        <v>10</v>
      </c>
      <c r="O7" s="31" t="s">
        <v>11</v>
      </c>
      <c r="P7" s="28" t="s">
        <v>10</v>
      </c>
      <c r="Q7" s="29" t="s">
        <v>11</v>
      </c>
      <c r="R7" s="30" t="s">
        <v>10</v>
      </c>
      <c r="S7" s="31" t="s">
        <v>11</v>
      </c>
      <c r="T7" s="28" t="s">
        <v>10</v>
      </c>
      <c r="U7" s="29" t="s">
        <v>11</v>
      </c>
      <c r="V7" s="30" t="s">
        <v>10</v>
      </c>
      <c r="W7" s="32" t="s">
        <v>11</v>
      </c>
      <c r="X7" s="32" t="s">
        <v>10</v>
      </c>
      <c r="Y7" s="32" t="s">
        <v>11</v>
      </c>
      <c r="Z7" s="33" t="s">
        <v>10</v>
      </c>
      <c r="AA7" s="32" t="s">
        <v>11</v>
      </c>
      <c r="AB7" s="32" t="s">
        <v>10</v>
      </c>
      <c r="AC7" s="32" t="s">
        <v>11</v>
      </c>
      <c r="AD7" s="33" t="s">
        <v>10</v>
      </c>
    </row>
    <row r="8" spans="2:30" ht="12.75" thickBot="1">
      <c r="B8" s="34" t="s">
        <v>112</v>
      </c>
      <c r="C8" s="35" t="s">
        <v>224</v>
      </c>
      <c r="D8" s="35" t="s">
        <v>223</v>
      </c>
      <c r="E8" s="214" t="s">
        <v>227</v>
      </c>
      <c r="F8" s="36">
        <f>VLOOKUP(E8,'03.direct'!$B$4:$D$25,3,FALSE)/$L$4</f>
        <v>302524.09523809527</v>
      </c>
      <c r="G8" s="221">
        <f>SUM(K8,M8,O8,Q8,S8,U8,AA8,AC8,W8,Y8)/L4</f>
        <v>0</v>
      </c>
      <c r="H8" s="222">
        <f>F8*G8*L4</f>
        <v>0</v>
      </c>
      <c r="I8" s="223">
        <f>SUM(L8,N8,P8,R8,T8,V8,AB8,AD8,X8,Z8)/L4</f>
        <v>0</v>
      </c>
      <c r="J8" s="224">
        <f t="shared" ref="J8:J13" si="0">F8*I8*$L$4</f>
        <v>0</v>
      </c>
      <c r="K8" s="234"/>
      <c r="L8" s="235"/>
      <c r="M8" s="236"/>
      <c r="N8" s="237"/>
      <c r="O8" s="238"/>
      <c r="P8" s="235"/>
      <c r="Q8" s="236"/>
      <c r="R8" s="237"/>
      <c r="S8" s="238"/>
      <c r="T8" s="235"/>
      <c r="U8" s="236"/>
      <c r="V8" s="179"/>
      <c r="W8" s="180"/>
      <c r="X8" s="181"/>
      <c r="Y8" s="180"/>
      <c r="Z8" s="182"/>
      <c r="AA8" s="180"/>
      <c r="AB8" s="181"/>
      <c r="AC8" s="180"/>
      <c r="AD8" s="182"/>
    </row>
    <row r="9" spans="2:30" ht="12.75" thickBot="1">
      <c r="B9" s="34"/>
      <c r="C9" s="37" t="s">
        <v>108</v>
      </c>
      <c r="D9" s="37" t="s">
        <v>225</v>
      </c>
      <c r="E9" s="214" t="s">
        <v>96</v>
      </c>
      <c r="F9" s="12">
        <f>VLOOKUP(E9,'03.direct'!$B$4:$D$25,3,FALSE)/$L$4</f>
        <v>238095.23809523811</v>
      </c>
      <c r="G9" s="225">
        <f>SUM(K9,M9,O9,Q9,S9,U9,AA9,AC9,W9,Y9)/L4</f>
        <v>0</v>
      </c>
      <c r="H9" s="222">
        <f>F9*G9*L4</f>
        <v>0</v>
      </c>
      <c r="I9" s="223">
        <f>SUM(L9,N9,P9,R9,T9,V9,AB9,AD9,X9,Z9)/L4</f>
        <v>0</v>
      </c>
      <c r="J9" s="224">
        <f t="shared" si="0"/>
        <v>0</v>
      </c>
      <c r="K9" s="234"/>
      <c r="L9" s="239"/>
      <c r="M9" s="236"/>
      <c r="N9" s="240"/>
      <c r="O9" s="238"/>
      <c r="P9" s="239"/>
      <c r="Q9" s="236"/>
      <c r="R9" s="240"/>
      <c r="S9" s="238"/>
      <c r="T9" s="239"/>
      <c r="U9" s="236"/>
      <c r="V9" s="183"/>
      <c r="W9" s="180"/>
      <c r="X9" s="184"/>
      <c r="Y9" s="180"/>
      <c r="Z9" s="185"/>
      <c r="AA9" s="180"/>
      <c r="AB9" s="184"/>
      <c r="AC9" s="180"/>
      <c r="AD9" s="185"/>
    </row>
    <row r="10" spans="2:30" ht="12.75" thickBot="1">
      <c r="B10" s="34"/>
      <c r="C10" s="37" t="s">
        <v>109</v>
      </c>
      <c r="D10" s="37" t="s">
        <v>226</v>
      </c>
      <c r="E10" s="214" t="s">
        <v>95</v>
      </c>
      <c r="F10" s="12">
        <f>VLOOKUP(E10,'03.direct'!$B$4:$D$25,3,FALSE)/$L$4</f>
        <v>190476.19047619047</v>
      </c>
      <c r="G10" s="225">
        <f>SUM(K10,M10,O10,Q10,S10,U10,AA10,AC10,W10,Y10)/L4</f>
        <v>0</v>
      </c>
      <c r="H10" s="222">
        <f>F10*G10*L4</f>
        <v>0</v>
      </c>
      <c r="I10" s="223">
        <f>SUM(L10,N10,P10,R10,T10,V10,AB10,AD10,X10,Z10)/L4</f>
        <v>0</v>
      </c>
      <c r="J10" s="224">
        <f t="shared" si="0"/>
        <v>0</v>
      </c>
      <c r="K10" s="234"/>
      <c r="L10" s="235"/>
      <c r="M10" s="236"/>
      <c r="N10" s="237"/>
      <c r="O10" s="238"/>
      <c r="P10" s="235"/>
      <c r="Q10" s="236"/>
      <c r="R10" s="237"/>
      <c r="S10" s="238"/>
      <c r="T10" s="235"/>
      <c r="U10" s="236"/>
      <c r="V10" s="179"/>
      <c r="W10" s="180"/>
      <c r="X10" s="181"/>
      <c r="Y10" s="180"/>
      <c r="Z10" s="182"/>
      <c r="AA10" s="180"/>
      <c r="AB10" s="181"/>
      <c r="AC10" s="180"/>
      <c r="AD10" s="182"/>
    </row>
    <row r="11" spans="2:30" ht="12.75" thickBot="1">
      <c r="B11" s="34"/>
      <c r="C11" s="37"/>
      <c r="D11" s="37"/>
      <c r="E11" s="214" t="s">
        <v>224</v>
      </c>
      <c r="F11" s="12">
        <f>VLOOKUP(E11,'03.direct'!$B$4:$D$25,3,FALSE)/$L$4</f>
        <v>402948.47619047621</v>
      </c>
      <c r="G11" s="221">
        <f>SUM(K11,M11,O11,Q11,S11,U11,AA11,AC11,W11,Y11)/L4</f>
        <v>0</v>
      </c>
      <c r="H11" s="222">
        <f>F11*G11*L4</f>
        <v>0</v>
      </c>
      <c r="I11" s="223">
        <f>SUM(L11,N11,P11,R11,T11,V11,AB11,AD11,X11,Z11)/L4</f>
        <v>0</v>
      </c>
      <c r="J11" s="224">
        <f t="shared" si="0"/>
        <v>0</v>
      </c>
      <c r="K11" s="241"/>
      <c r="L11" s="239"/>
      <c r="M11" s="242"/>
      <c r="N11" s="240"/>
      <c r="O11" s="243"/>
      <c r="P11" s="239"/>
      <c r="Q11" s="242"/>
      <c r="R11" s="240"/>
      <c r="S11" s="243"/>
      <c r="T11" s="239"/>
      <c r="U11" s="242"/>
      <c r="V11" s="183"/>
      <c r="W11" s="186"/>
      <c r="X11" s="184"/>
      <c r="Y11" s="186"/>
      <c r="Z11" s="185"/>
      <c r="AA11" s="186"/>
      <c r="AB11" s="184"/>
      <c r="AC11" s="186"/>
      <c r="AD11" s="185"/>
    </row>
    <row r="12" spans="2:30" ht="12.75" thickBot="1">
      <c r="B12" s="171"/>
      <c r="C12" s="37"/>
      <c r="D12" s="37"/>
      <c r="E12" s="214" t="s">
        <v>287</v>
      </c>
      <c r="F12" s="12">
        <f>VLOOKUP(E12,'03.direct'!$B$4:$D$25,3,FALSE)/$L$4</f>
        <v>226538.76190476189</v>
      </c>
      <c r="G12" s="221">
        <f>SUM(K12,M12,O12,Q12,S12,U12,AA12,AC12,W12,Y12)/L4</f>
        <v>0</v>
      </c>
      <c r="H12" s="222">
        <f>F12*G12*L4</f>
        <v>0</v>
      </c>
      <c r="I12" s="223">
        <f>SUM(L12,N12,P12,R12,T12,V12,AB12,AD12,X12,Z12)/L4</f>
        <v>0</v>
      </c>
      <c r="J12" s="224">
        <f t="shared" si="0"/>
        <v>0</v>
      </c>
      <c r="K12" s="234"/>
      <c r="L12" s="235"/>
      <c r="M12" s="236"/>
      <c r="N12" s="237"/>
      <c r="O12" s="238"/>
      <c r="P12" s="235"/>
      <c r="Q12" s="236"/>
      <c r="R12" s="237"/>
      <c r="S12" s="238"/>
      <c r="T12" s="235"/>
      <c r="U12" s="236"/>
      <c r="V12" s="179"/>
      <c r="W12" s="180"/>
      <c r="X12" s="181"/>
      <c r="Y12" s="180"/>
      <c r="Z12" s="182"/>
      <c r="AA12" s="180"/>
      <c r="AB12" s="181"/>
      <c r="AC12" s="180"/>
      <c r="AD12" s="182"/>
    </row>
    <row r="13" spans="2:30" ht="12.75" thickBot="1">
      <c r="B13" s="171"/>
      <c r="C13" s="37"/>
      <c r="D13" s="37"/>
      <c r="E13" s="214" t="s">
        <v>286</v>
      </c>
      <c r="F13" s="12">
        <f>VLOOKUP(E13,'03.direct'!$B$4:$D$25,3,FALSE)/$L$4</f>
        <v>271851.04761904763</v>
      </c>
      <c r="G13" s="221">
        <f>SUM(K13,M13,O13,Q13,S13,U13,AA13,AC13,W13,Y13)/L4</f>
        <v>0</v>
      </c>
      <c r="H13" s="222">
        <f>F13*G13*L4</f>
        <v>0</v>
      </c>
      <c r="I13" s="223">
        <f>SUM(L13,N13,P13,R13,T13,V13,AB13,AD13,X13,Z13)/L4</f>
        <v>0</v>
      </c>
      <c r="J13" s="224">
        <f t="shared" si="0"/>
        <v>0</v>
      </c>
      <c r="K13" s="241"/>
      <c r="L13" s="239"/>
      <c r="M13" s="242"/>
      <c r="N13" s="240"/>
      <c r="O13" s="243"/>
      <c r="P13" s="239"/>
      <c r="Q13" s="242"/>
      <c r="R13" s="240"/>
      <c r="S13" s="243"/>
      <c r="T13" s="239"/>
      <c r="U13" s="242"/>
      <c r="V13" s="183"/>
      <c r="W13" s="186"/>
      <c r="X13" s="184"/>
      <c r="Y13" s="186"/>
      <c r="Z13" s="185"/>
      <c r="AA13" s="186"/>
      <c r="AB13" s="184"/>
      <c r="AC13" s="186"/>
      <c r="AD13" s="185"/>
    </row>
    <row r="14" spans="2:30">
      <c r="B14" s="38"/>
      <c r="C14" s="39"/>
      <c r="D14" s="39"/>
      <c r="E14" s="39"/>
      <c r="F14" s="40" t="s">
        <v>24</v>
      </c>
      <c r="G14" s="226">
        <f>SUM(G8:G13)</f>
        <v>0</v>
      </c>
      <c r="H14" s="227">
        <f>SUM(H8:H13)</f>
        <v>0</v>
      </c>
      <c r="I14" s="228">
        <f>SUM(I8:I11)</f>
        <v>0</v>
      </c>
      <c r="J14" s="229">
        <f>SUM(J8:J11)</f>
        <v>0</v>
      </c>
      <c r="K14" s="244">
        <f>SUM(K8:K13)</f>
        <v>0</v>
      </c>
      <c r="L14" s="245">
        <f>SUM(L8:L11)</f>
        <v>0</v>
      </c>
      <c r="M14" s="244">
        <f>SUM(M8:M13)</f>
        <v>0</v>
      </c>
      <c r="N14" s="245">
        <f>SUM(N8:N11)</f>
        <v>0</v>
      </c>
      <c r="O14" s="244">
        <f>SUM(O8:O13)</f>
        <v>0</v>
      </c>
      <c r="P14" s="245">
        <f>SUM(P8:P11)</f>
        <v>0</v>
      </c>
      <c r="Q14" s="244">
        <f>SUM(Q8:Q13)</f>
        <v>0</v>
      </c>
      <c r="R14" s="245">
        <f>SUM(R8:R11)</f>
        <v>0</v>
      </c>
      <c r="S14" s="244">
        <f>SUM(S8:S13)</f>
        <v>0</v>
      </c>
      <c r="T14" s="245">
        <f>SUM(T8:T11)</f>
        <v>0</v>
      </c>
      <c r="U14" s="244">
        <f>SUM(U8:U13)</f>
        <v>0</v>
      </c>
      <c r="V14" s="42">
        <f t="shared" ref="V14:AB14" si="1">SUM(V8:V11)</f>
        <v>0</v>
      </c>
      <c r="W14" s="41">
        <f t="shared" si="1"/>
        <v>0</v>
      </c>
      <c r="X14" s="42">
        <f t="shared" si="1"/>
        <v>0</v>
      </c>
      <c r="Y14" s="41">
        <f t="shared" si="1"/>
        <v>0</v>
      </c>
      <c r="Z14" s="43">
        <f t="shared" si="1"/>
        <v>0</v>
      </c>
      <c r="AA14" s="41">
        <f t="shared" si="1"/>
        <v>0</v>
      </c>
      <c r="AB14" s="42">
        <f t="shared" si="1"/>
        <v>0</v>
      </c>
      <c r="AC14" s="41">
        <f>SUM(AC8:AC12)</f>
        <v>0</v>
      </c>
      <c r="AD14" s="43">
        <f>SUM(AD8:AD11)</f>
        <v>0</v>
      </c>
    </row>
    <row r="15" spans="2:30" ht="12.75" thickBot="1">
      <c r="B15" s="44"/>
      <c r="C15" s="45"/>
      <c r="D15" s="45"/>
      <c r="E15" s="45"/>
      <c r="F15" s="46"/>
      <c r="G15" s="230"/>
      <c r="H15" s="231"/>
      <c r="I15" s="232"/>
      <c r="J15" s="233"/>
      <c r="K15" s="219">
        <f>SUMPRODUCT((K8:K11)*($F8:$F11))</f>
        <v>0</v>
      </c>
      <c r="L15" s="220">
        <f>SUMPRODUCT((L8:L11)*($F8:$F11))</f>
        <v>0</v>
      </c>
      <c r="M15" s="219">
        <f>SUMPRODUCT((M8:M11)*($F8:$F11))</f>
        <v>0</v>
      </c>
      <c r="N15" s="220">
        <f>SUMPRODUCT((N8:N11)*($F8:$F11))</f>
        <v>0</v>
      </c>
      <c r="O15" s="219">
        <f>SUMPRODUCT((O8:O13)*($F8:$F13))</f>
        <v>0</v>
      </c>
      <c r="P15" s="220">
        <f>SUMPRODUCT((P8:P11)*($F8:$F11))</f>
        <v>0</v>
      </c>
      <c r="Q15" s="219">
        <f>SUMPRODUCT((Q8:Q13)*($F8:$F13))</f>
        <v>0</v>
      </c>
      <c r="R15" s="220">
        <f>SUMPRODUCT((R8:R11)*($F8:$F11))</f>
        <v>0</v>
      </c>
      <c r="S15" s="219">
        <f>SUMPRODUCT((S8:S13)*($F8:$F13))</f>
        <v>0</v>
      </c>
      <c r="T15" s="220">
        <f>SUMPRODUCT((T8:T11)*($F8:$F11))</f>
        <v>0</v>
      </c>
      <c r="U15" s="219">
        <f>SUMPRODUCT((U8:U13)*($F8:$F13))</f>
        <v>0</v>
      </c>
      <c r="V15" s="48">
        <f t="shared" ref="V15:AD15" si="2">SUMPRODUCT((V8:V11)*($F8:$F11))</f>
        <v>0</v>
      </c>
      <c r="W15" s="47">
        <f t="shared" si="2"/>
        <v>0</v>
      </c>
      <c r="X15" s="48">
        <f t="shared" si="2"/>
        <v>0</v>
      </c>
      <c r="Y15" s="47">
        <f t="shared" si="2"/>
        <v>0</v>
      </c>
      <c r="Z15" s="49">
        <f t="shared" si="2"/>
        <v>0</v>
      </c>
      <c r="AA15" s="47">
        <f t="shared" si="2"/>
        <v>0</v>
      </c>
      <c r="AB15" s="48">
        <f t="shared" si="2"/>
        <v>0</v>
      </c>
      <c r="AC15" s="47">
        <f t="shared" si="2"/>
        <v>0</v>
      </c>
      <c r="AD15" s="49">
        <f t="shared" si="2"/>
        <v>0</v>
      </c>
    </row>
    <row r="16" spans="2:30" s="344" customFormat="1" ht="11.25">
      <c r="I16" s="345"/>
      <c r="J16" s="346">
        <f>H14-J14</f>
        <v>0</v>
      </c>
      <c r="L16" s="346">
        <f>K15-L15</f>
        <v>0</v>
      </c>
      <c r="N16" s="346">
        <f>M15-N15</f>
        <v>0</v>
      </c>
      <c r="O16" s="346"/>
      <c r="P16" s="346">
        <f>O15-P15</f>
        <v>0</v>
      </c>
    </row>
    <row r="17" spans="2:30" s="344" customFormat="1" ht="20.100000000000001" customHeight="1" thickBot="1">
      <c r="B17" s="347" t="s">
        <v>86</v>
      </c>
      <c r="I17" s="345"/>
      <c r="M17" s="348"/>
      <c r="O17" s="344" t="s">
        <v>228</v>
      </c>
    </row>
    <row r="18" spans="2:30" ht="13.5" customHeight="1">
      <c r="B18" s="377" t="s">
        <v>43</v>
      </c>
      <c r="C18" s="378"/>
      <c r="D18" s="378"/>
      <c r="E18" s="378"/>
      <c r="F18" s="379"/>
      <c r="G18" s="377" t="s">
        <v>42</v>
      </c>
      <c r="H18" s="378"/>
      <c r="I18" s="378"/>
      <c r="J18" s="379"/>
      <c r="K18" s="383" t="s">
        <v>18</v>
      </c>
      <c r="L18" s="384"/>
      <c r="M18" s="384"/>
      <c r="N18" s="384"/>
      <c r="O18" s="384"/>
      <c r="P18" s="384"/>
      <c r="Q18" s="384"/>
      <c r="R18" s="384"/>
      <c r="S18" s="384"/>
      <c r="T18" s="384"/>
      <c r="U18" s="384"/>
      <c r="V18" s="384"/>
      <c r="W18" s="384"/>
      <c r="X18" s="384"/>
      <c r="Y18" s="384"/>
      <c r="Z18" s="384"/>
      <c r="AA18" s="384"/>
      <c r="AB18" s="384"/>
      <c r="AC18" s="384"/>
      <c r="AD18" s="385"/>
    </row>
    <row r="19" spans="2:30">
      <c r="B19" s="380"/>
      <c r="C19" s="381"/>
      <c r="D19" s="381"/>
      <c r="E19" s="381"/>
      <c r="F19" s="382"/>
      <c r="G19" s="380"/>
      <c r="H19" s="381"/>
      <c r="I19" s="381"/>
      <c r="J19" s="382"/>
      <c r="K19" s="386">
        <f>K6</f>
        <v>43534</v>
      </c>
      <c r="L19" s="363"/>
      <c r="M19" s="387">
        <f>K19+30</f>
        <v>43564</v>
      </c>
      <c r="N19" s="388"/>
      <c r="O19" s="362">
        <f>M19+30</f>
        <v>43594</v>
      </c>
      <c r="P19" s="363"/>
      <c r="Q19" s="387">
        <f>O19+30</f>
        <v>43624</v>
      </c>
      <c r="R19" s="388"/>
      <c r="S19" s="362">
        <f>Q19+30</f>
        <v>43654</v>
      </c>
      <c r="T19" s="363"/>
      <c r="U19" s="375">
        <f>S19+30</f>
        <v>43684</v>
      </c>
      <c r="V19" s="375"/>
      <c r="W19" s="375">
        <f>U19+30</f>
        <v>43714</v>
      </c>
      <c r="X19" s="375"/>
      <c r="Y19" s="375">
        <f>W19+30</f>
        <v>43744</v>
      </c>
      <c r="Z19" s="376"/>
      <c r="AA19" s="375">
        <f>Y19+30</f>
        <v>43774</v>
      </c>
      <c r="AB19" s="375"/>
      <c r="AC19" s="375">
        <f>AA19+30</f>
        <v>43804</v>
      </c>
      <c r="AD19" s="376"/>
    </row>
    <row r="20" spans="2:30" ht="12.75" thickBot="1">
      <c r="B20" s="13" t="s">
        <v>19</v>
      </c>
      <c r="C20" s="26" t="s">
        <v>25</v>
      </c>
      <c r="D20" s="28"/>
      <c r="E20" s="14" t="s">
        <v>26</v>
      </c>
      <c r="F20" s="50"/>
      <c r="G20" s="51"/>
      <c r="H20" s="52" t="s">
        <v>8</v>
      </c>
      <c r="I20" s="53"/>
      <c r="J20" s="54" t="s">
        <v>9</v>
      </c>
      <c r="K20" s="31" t="s">
        <v>11</v>
      </c>
      <c r="L20" s="28" t="s">
        <v>10</v>
      </c>
      <c r="M20" s="29" t="s">
        <v>11</v>
      </c>
      <c r="N20" s="30" t="s">
        <v>10</v>
      </c>
      <c r="O20" s="31" t="s">
        <v>11</v>
      </c>
      <c r="P20" s="28" t="s">
        <v>10</v>
      </c>
      <c r="Q20" s="29" t="s">
        <v>11</v>
      </c>
      <c r="R20" s="30" t="s">
        <v>10</v>
      </c>
      <c r="S20" s="31" t="s">
        <v>11</v>
      </c>
      <c r="T20" s="28" t="s">
        <v>10</v>
      </c>
      <c r="U20" s="29" t="s">
        <v>11</v>
      </c>
      <c r="V20" s="30" t="s">
        <v>10</v>
      </c>
      <c r="W20" s="32" t="s">
        <v>11</v>
      </c>
      <c r="X20" s="32" t="s">
        <v>10</v>
      </c>
      <c r="Y20" s="32" t="s">
        <v>11</v>
      </c>
      <c r="Z20" s="33" t="s">
        <v>10</v>
      </c>
      <c r="AA20" s="32" t="s">
        <v>11</v>
      </c>
      <c r="AB20" s="32" t="s">
        <v>10</v>
      </c>
      <c r="AC20" s="32" t="s">
        <v>11</v>
      </c>
      <c r="AD20" s="33" t="s">
        <v>10</v>
      </c>
    </row>
    <row r="21" spans="2:30" ht="14.45" customHeight="1">
      <c r="B21" s="34" t="s">
        <v>104</v>
      </c>
      <c r="C21" s="35" t="s">
        <v>88</v>
      </c>
      <c r="D21" s="392" t="s">
        <v>87</v>
      </c>
      <c r="E21" s="393"/>
      <c r="F21" s="394"/>
      <c r="G21" s="246"/>
      <c r="H21" s="247">
        <f>SUM(K21,M21,O21,Q21,S21,U21,AA21,AC21,W21,Y21)</f>
        <v>0</v>
      </c>
      <c r="I21" s="248"/>
      <c r="J21" s="249">
        <f>SUM(L21,N21,P21,R21,T21,V21,AB21,AD21,X21,Z21)</f>
        <v>0</v>
      </c>
      <c r="K21" s="250"/>
      <c r="L21" s="251"/>
      <c r="M21" s="250"/>
      <c r="N21" s="252"/>
      <c r="O21" s="253"/>
      <c r="P21" s="251"/>
      <c r="Q21" s="254"/>
      <c r="R21" s="252"/>
      <c r="S21" s="253"/>
      <c r="T21" s="251"/>
      <c r="U21" s="254"/>
      <c r="V21" s="59"/>
      <c r="W21" s="61"/>
      <c r="X21" s="62"/>
      <c r="Y21" s="63"/>
      <c r="Z21" s="64"/>
      <c r="AA21" s="61"/>
      <c r="AB21" s="62"/>
      <c r="AC21" s="63"/>
      <c r="AD21" s="64"/>
    </row>
    <row r="22" spans="2:30">
      <c r="B22" s="34"/>
      <c r="C22" s="65" t="s">
        <v>34</v>
      </c>
      <c r="D22" s="395" t="s">
        <v>89</v>
      </c>
      <c r="E22" s="396"/>
      <c r="F22" s="397"/>
      <c r="G22" s="246"/>
      <c r="H22" s="247">
        <f t="shared" ref="H22:H24" si="3">SUM(K22,M22,O22,Q22,S22,U22,AA22,AC22,W22,Y22)</f>
        <v>0</v>
      </c>
      <c r="I22" s="248"/>
      <c r="J22" s="249">
        <f t="shared" ref="J22:J24" si="4">SUM(L22,N22,P22,R22,T22,V22,AB22,AD22,X22,Z22)</f>
        <v>0</v>
      </c>
      <c r="K22" s="250"/>
      <c r="L22" s="251"/>
      <c r="M22" s="250"/>
      <c r="N22" s="252"/>
      <c r="O22" s="250"/>
      <c r="P22" s="251"/>
      <c r="Q22" s="250"/>
      <c r="R22" s="252"/>
      <c r="S22" s="253"/>
      <c r="T22" s="251"/>
      <c r="U22" s="254"/>
      <c r="V22" s="59"/>
      <c r="W22" s="61"/>
      <c r="X22" s="62"/>
      <c r="Y22" s="63"/>
      <c r="Z22" s="64"/>
      <c r="AA22" s="61"/>
      <c r="AB22" s="62"/>
      <c r="AC22" s="63"/>
      <c r="AD22" s="64"/>
    </row>
    <row r="23" spans="2:30">
      <c r="B23" s="34"/>
      <c r="C23" s="65" t="s">
        <v>35</v>
      </c>
      <c r="D23" s="66" t="s">
        <v>90</v>
      </c>
      <c r="E23" s="67"/>
      <c r="F23" s="68"/>
      <c r="G23" s="246"/>
      <c r="H23" s="247">
        <f t="shared" si="3"/>
        <v>0</v>
      </c>
      <c r="I23" s="248"/>
      <c r="J23" s="249">
        <f t="shared" si="4"/>
        <v>0</v>
      </c>
      <c r="K23" s="250"/>
      <c r="L23" s="251"/>
      <c r="M23" s="254"/>
      <c r="N23" s="252"/>
      <c r="O23" s="250"/>
      <c r="P23" s="251"/>
      <c r="Q23" s="254"/>
      <c r="R23" s="252"/>
      <c r="S23" s="250"/>
      <c r="T23" s="251"/>
      <c r="U23" s="254"/>
      <c r="V23" s="59"/>
      <c r="W23" s="57"/>
      <c r="X23" s="62"/>
      <c r="Y23" s="63"/>
      <c r="Z23" s="64"/>
      <c r="AA23" s="57"/>
      <c r="AB23" s="62"/>
      <c r="AC23" s="63"/>
      <c r="AD23" s="64"/>
    </row>
    <row r="24" spans="2:30">
      <c r="B24" s="34"/>
      <c r="C24" s="65" t="s">
        <v>23</v>
      </c>
      <c r="D24" s="66" t="s">
        <v>93</v>
      </c>
      <c r="E24" s="67"/>
      <c r="F24" s="68"/>
      <c r="G24" s="246"/>
      <c r="H24" s="247">
        <f t="shared" si="3"/>
        <v>0</v>
      </c>
      <c r="I24" s="248"/>
      <c r="J24" s="249">
        <f t="shared" si="4"/>
        <v>0</v>
      </c>
      <c r="K24" s="250"/>
      <c r="L24" s="251"/>
      <c r="M24" s="254"/>
      <c r="N24" s="252"/>
      <c r="O24" s="253"/>
      <c r="P24" s="251"/>
      <c r="Q24" s="254"/>
      <c r="R24" s="252"/>
      <c r="S24" s="253"/>
      <c r="T24" s="251"/>
      <c r="U24" s="254"/>
      <c r="V24" s="59"/>
      <c r="W24" s="61"/>
      <c r="X24" s="62"/>
      <c r="Y24" s="63"/>
      <c r="Z24" s="64"/>
      <c r="AA24" s="61"/>
      <c r="AB24" s="62"/>
      <c r="AC24" s="63"/>
      <c r="AD24" s="64"/>
    </row>
    <row r="25" spans="2:30">
      <c r="B25" s="34"/>
      <c r="C25" s="75" t="s">
        <v>24</v>
      </c>
      <c r="D25" s="76"/>
      <c r="E25" s="11"/>
      <c r="F25" s="77"/>
      <c r="G25" s="255"/>
      <c r="H25" s="256">
        <f>SUM(K25,M25,O25,Q25,S25,U25,AA25,AC25,W25,Y25)</f>
        <v>0</v>
      </c>
      <c r="I25" s="257"/>
      <c r="J25" s="258">
        <f>SUM(L25,N25,P25,R25,T25,V25,AB25,AD25,X25,Z25)</f>
        <v>0</v>
      </c>
      <c r="K25" s="259">
        <f t="shared" ref="K25:AD25" si="5">SUM(K21:K24)</f>
        <v>0</v>
      </c>
      <c r="L25" s="260">
        <f t="shared" si="5"/>
        <v>0</v>
      </c>
      <c r="M25" s="261">
        <f t="shared" si="5"/>
        <v>0</v>
      </c>
      <c r="N25" s="262">
        <f t="shared" si="5"/>
        <v>0</v>
      </c>
      <c r="O25" s="263">
        <f t="shared" si="5"/>
        <v>0</v>
      </c>
      <c r="P25" s="260">
        <f t="shared" si="5"/>
        <v>0</v>
      </c>
      <c r="Q25" s="261">
        <f t="shared" si="5"/>
        <v>0</v>
      </c>
      <c r="R25" s="262">
        <f t="shared" si="5"/>
        <v>0</v>
      </c>
      <c r="S25" s="263">
        <f t="shared" si="5"/>
        <v>0</v>
      </c>
      <c r="T25" s="260">
        <f t="shared" si="5"/>
        <v>0</v>
      </c>
      <c r="U25" s="261">
        <f t="shared" si="5"/>
        <v>0</v>
      </c>
      <c r="V25" s="78">
        <f t="shared" si="5"/>
        <v>0</v>
      </c>
      <c r="W25" s="79">
        <f t="shared" si="5"/>
        <v>0</v>
      </c>
      <c r="X25" s="80">
        <f t="shared" si="5"/>
        <v>0</v>
      </c>
      <c r="Y25" s="81">
        <f t="shared" si="5"/>
        <v>0</v>
      </c>
      <c r="Z25" s="82">
        <f t="shared" si="5"/>
        <v>0</v>
      </c>
      <c r="AA25" s="79">
        <f t="shared" si="5"/>
        <v>0</v>
      </c>
      <c r="AB25" s="80">
        <f t="shared" si="5"/>
        <v>0</v>
      </c>
      <c r="AC25" s="81">
        <f t="shared" si="5"/>
        <v>0</v>
      </c>
      <c r="AD25" s="82">
        <f t="shared" si="5"/>
        <v>0</v>
      </c>
    </row>
    <row r="26" spans="2:30">
      <c r="B26" s="34" t="s">
        <v>36</v>
      </c>
      <c r="C26" s="37" t="s">
        <v>91</v>
      </c>
      <c r="D26" s="178" t="s">
        <v>92</v>
      </c>
      <c r="E26" s="69"/>
      <c r="F26" s="68"/>
      <c r="G26" s="246"/>
      <c r="H26" s="247">
        <f>SUM(K26,M26,O26,Q26,S26,U26,AA26,AC26,W26,Y26)</f>
        <v>0</v>
      </c>
      <c r="I26" s="248"/>
      <c r="J26" s="264">
        <f>SUM(L26,N26,P26,R26,T26,V26,AB26,AD26,X26,Z26)</f>
        <v>0</v>
      </c>
      <c r="K26" s="265"/>
      <c r="L26" s="266"/>
      <c r="M26" s="267"/>
      <c r="N26" s="268"/>
      <c r="O26" s="269"/>
      <c r="P26" s="266"/>
      <c r="Q26" s="267"/>
      <c r="R26" s="268"/>
      <c r="S26" s="269"/>
      <c r="T26" s="266"/>
      <c r="U26" s="267"/>
      <c r="V26" s="70"/>
      <c r="W26" s="71"/>
      <c r="X26" s="72"/>
      <c r="Y26" s="73"/>
      <c r="Z26" s="74"/>
      <c r="AA26" s="71"/>
      <c r="AB26" s="72"/>
      <c r="AC26" s="73"/>
      <c r="AD26" s="74"/>
    </row>
    <row r="27" spans="2:30">
      <c r="B27" s="34"/>
      <c r="C27" s="37" t="s">
        <v>37</v>
      </c>
      <c r="D27" s="178"/>
      <c r="E27" s="69"/>
      <c r="F27" s="68"/>
      <c r="G27" s="246"/>
      <c r="H27" s="247">
        <f t="shared" ref="H27:H28" si="6">SUM(K27,M27,O27,Q27,S27,U27,AA27,AC27,W27,Y27)</f>
        <v>0</v>
      </c>
      <c r="I27" s="248"/>
      <c r="J27" s="264">
        <f t="shared" ref="J27:J28" si="7">SUM(L27,N27,P27,R27,T27,V27,AB27,AD27,X27,Z27)</f>
        <v>0</v>
      </c>
      <c r="K27" s="265"/>
      <c r="L27" s="266"/>
      <c r="M27" s="267"/>
      <c r="N27" s="268"/>
      <c r="O27" s="269"/>
      <c r="P27" s="266"/>
      <c r="Q27" s="267"/>
      <c r="R27" s="268"/>
      <c r="S27" s="269"/>
      <c r="T27" s="266"/>
      <c r="U27" s="267"/>
      <c r="V27" s="70"/>
      <c r="W27" s="71"/>
      <c r="X27" s="72"/>
      <c r="Y27" s="73"/>
      <c r="Z27" s="74"/>
      <c r="AA27" s="71"/>
      <c r="AB27" s="72"/>
      <c r="AC27" s="73"/>
      <c r="AD27" s="74"/>
    </row>
    <row r="28" spans="2:30">
      <c r="B28" s="34"/>
      <c r="C28" s="37" t="s">
        <v>105</v>
      </c>
      <c r="D28" s="395" t="s">
        <v>106</v>
      </c>
      <c r="E28" s="396"/>
      <c r="F28" s="397"/>
      <c r="G28" s="246"/>
      <c r="H28" s="247">
        <f t="shared" si="6"/>
        <v>0</v>
      </c>
      <c r="I28" s="248"/>
      <c r="J28" s="264">
        <f t="shared" si="7"/>
        <v>0</v>
      </c>
      <c r="K28" s="265"/>
      <c r="L28" s="266"/>
      <c r="M28" s="267"/>
      <c r="N28" s="268"/>
      <c r="O28" s="269"/>
      <c r="P28" s="266"/>
      <c r="Q28" s="267"/>
      <c r="R28" s="268"/>
      <c r="S28" s="269"/>
      <c r="T28" s="266"/>
      <c r="U28" s="267"/>
      <c r="V28" s="70"/>
      <c r="W28" s="71"/>
      <c r="X28" s="72"/>
      <c r="Y28" s="73"/>
      <c r="Z28" s="74"/>
      <c r="AA28" s="71"/>
      <c r="AB28" s="72"/>
      <c r="AC28" s="73"/>
      <c r="AD28" s="74"/>
    </row>
    <row r="29" spans="2:30" ht="12.75" thickBot="1">
      <c r="B29" s="34"/>
      <c r="C29" s="75" t="s">
        <v>24</v>
      </c>
      <c r="D29" s="76"/>
      <c r="E29" s="11"/>
      <c r="F29" s="77"/>
      <c r="G29" s="255"/>
      <c r="H29" s="256">
        <f>SUM(K29,M29,O29,Q29,S29,U29,AA29,AC29,W29,Y29)</f>
        <v>0</v>
      </c>
      <c r="I29" s="257"/>
      <c r="J29" s="270">
        <f>SUM(L29,N29,P29,R29,T29,V29,AB29,AD29,X29,Z29)</f>
        <v>0</v>
      </c>
      <c r="K29" s="259">
        <f t="shared" ref="K29:AD29" si="8">SUM(K26:K28)</f>
        <v>0</v>
      </c>
      <c r="L29" s="260">
        <f t="shared" si="8"/>
        <v>0</v>
      </c>
      <c r="M29" s="261">
        <f t="shared" si="8"/>
        <v>0</v>
      </c>
      <c r="N29" s="262">
        <f t="shared" si="8"/>
        <v>0</v>
      </c>
      <c r="O29" s="263">
        <f t="shared" si="8"/>
        <v>0</v>
      </c>
      <c r="P29" s="260">
        <f t="shared" si="8"/>
        <v>0</v>
      </c>
      <c r="Q29" s="261">
        <f t="shared" si="8"/>
        <v>0</v>
      </c>
      <c r="R29" s="262">
        <f t="shared" si="8"/>
        <v>0</v>
      </c>
      <c r="S29" s="263">
        <f t="shared" si="8"/>
        <v>0</v>
      </c>
      <c r="T29" s="260">
        <f t="shared" si="8"/>
        <v>0</v>
      </c>
      <c r="U29" s="261">
        <f t="shared" si="8"/>
        <v>0</v>
      </c>
      <c r="V29" s="83">
        <f t="shared" si="8"/>
        <v>0</v>
      </c>
      <c r="W29" s="84">
        <f t="shared" si="8"/>
        <v>0</v>
      </c>
      <c r="X29" s="80">
        <f t="shared" si="8"/>
        <v>0</v>
      </c>
      <c r="Y29" s="85">
        <f t="shared" si="8"/>
        <v>0</v>
      </c>
      <c r="Z29" s="82">
        <f t="shared" si="8"/>
        <v>0</v>
      </c>
      <c r="AA29" s="84">
        <f t="shared" si="8"/>
        <v>0</v>
      </c>
      <c r="AB29" s="80">
        <f t="shared" si="8"/>
        <v>0</v>
      </c>
      <c r="AC29" s="85">
        <f t="shared" si="8"/>
        <v>0</v>
      </c>
      <c r="AD29" s="82">
        <f t="shared" si="8"/>
        <v>0</v>
      </c>
    </row>
    <row r="30" spans="2:30" ht="12.75" thickBot="1">
      <c r="B30" s="86"/>
      <c r="C30" s="87"/>
      <c r="D30" s="87"/>
      <c r="E30" s="87"/>
      <c r="F30" s="88" t="s">
        <v>24</v>
      </c>
      <c r="G30" s="271"/>
      <c r="H30" s="272">
        <f t="shared" ref="H30:AD30" si="9">SUM(H25,H29)</f>
        <v>0</v>
      </c>
      <c r="I30" s="272">
        <f t="shared" si="9"/>
        <v>0</v>
      </c>
      <c r="J30" s="272">
        <f t="shared" si="9"/>
        <v>0</v>
      </c>
      <c r="K30" s="272">
        <f t="shared" si="9"/>
        <v>0</v>
      </c>
      <c r="L30" s="272">
        <f t="shared" si="9"/>
        <v>0</v>
      </c>
      <c r="M30" s="272">
        <f t="shared" si="9"/>
        <v>0</v>
      </c>
      <c r="N30" s="272">
        <f t="shared" si="9"/>
        <v>0</v>
      </c>
      <c r="O30" s="272">
        <f t="shared" si="9"/>
        <v>0</v>
      </c>
      <c r="P30" s="272">
        <f t="shared" si="9"/>
        <v>0</v>
      </c>
      <c r="Q30" s="272">
        <f t="shared" si="9"/>
        <v>0</v>
      </c>
      <c r="R30" s="272">
        <f t="shared" si="9"/>
        <v>0</v>
      </c>
      <c r="S30" s="272">
        <f t="shared" si="9"/>
        <v>0</v>
      </c>
      <c r="T30" s="272">
        <f t="shared" si="9"/>
        <v>0</v>
      </c>
      <c r="U30" s="272">
        <f t="shared" si="9"/>
        <v>0</v>
      </c>
      <c r="V30" s="89">
        <f t="shared" si="9"/>
        <v>0</v>
      </c>
      <c r="W30" s="90">
        <f t="shared" si="9"/>
        <v>0</v>
      </c>
      <c r="X30" s="91">
        <f t="shared" si="9"/>
        <v>0</v>
      </c>
      <c r="Y30" s="91">
        <f t="shared" si="9"/>
        <v>0</v>
      </c>
      <c r="Z30" s="92">
        <f t="shared" si="9"/>
        <v>0</v>
      </c>
      <c r="AA30" s="90">
        <f t="shared" si="9"/>
        <v>0</v>
      </c>
      <c r="AB30" s="91">
        <f t="shared" si="9"/>
        <v>0</v>
      </c>
      <c r="AC30" s="91">
        <f t="shared" si="9"/>
        <v>0</v>
      </c>
      <c r="AD30" s="92">
        <f t="shared" si="9"/>
        <v>0</v>
      </c>
    </row>
    <row r="32" spans="2:30" ht="20.100000000000001" customHeight="1" thickBot="1">
      <c r="B32" s="19" t="s">
        <v>27</v>
      </c>
      <c r="K32" s="18"/>
      <c r="L32" s="170"/>
      <c r="O32" s="93"/>
      <c r="P32" s="94"/>
      <c r="Q32" s="95"/>
    </row>
    <row r="33" spans="2:30">
      <c r="B33" s="377" t="s">
        <v>12</v>
      </c>
      <c r="C33" s="378"/>
      <c r="D33" s="378"/>
      <c r="E33" s="378"/>
      <c r="F33" s="379"/>
      <c r="G33" s="377" t="s">
        <v>24</v>
      </c>
      <c r="H33" s="378"/>
      <c r="I33" s="378"/>
      <c r="J33" s="379"/>
      <c r="K33" s="383" t="s">
        <v>18</v>
      </c>
      <c r="L33" s="384"/>
      <c r="M33" s="384"/>
      <c r="N33" s="384"/>
      <c r="O33" s="384"/>
      <c r="P33" s="384"/>
      <c r="Q33" s="384"/>
      <c r="R33" s="384"/>
      <c r="S33" s="384"/>
      <c r="T33" s="384"/>
      <c r="U33" s="384"/>
      <c r="V33" s="384"/>
      <c r="W33" s="384"/>
      <c r="X33" s="384"/>
      <c r="Y33" s="384"/>
      <c r="Z33" s="384"/>
      <c r="AA33" s="384"/>
      <c r="AB33" s="384"/>
      <c r="AC33" s="384"/>
      <c r="AD33" s="385"/>
    </row>
    <row r="34" spans="2:30">
      <c r="B34" s="380"/>
      <c r="C34" s="381"/>
      <c r="D34" s="381"/>
      <c r="E34" s="381"/>
      <c r="F34" s="382"/>
      <c r="G34" s="380"/>
      <c r="H34" s="381"/>
      <c r="I34" s="381"/>
      <c r="J34" s="382"/>
      <c r="K34" s="391">
        <f>K6</f>
        <v>43534</v>
      </c>
      <c r="L34" s="390"/>
      <c r="M34" s="387">
        <f>K34+30</f>
        <v>43564</v>
      </c>
      <c r="N34" s="388"/>
      <c r="O34" s="362">
        <f>M34+30</f>
        <v>43594</v>
      </c>
      <c r="P34" s="363"/>
      <c r="Q34" s="389">
        <f>O34+30</f>
        <v>43624</v>
      </c>
      <c r="R34" s="390"/>
      <c r="S34" s="389">
        <f>Q34+30</f>
        <v>43654</v>
      </c>
      <c r="T34" s="390"/>
      <c r="U34" s="375">
        <f>S34+30</f>
        <v>43684</v>
      </c>
      <c r="V34" s="375"/>
      <c r="W34" s="375">
        <f>U34+30</f>
        <v>43714</v>
      </c>
      <c r="X34" s="375"/>
      <c r="Y34" s="375">
        <f>W34+30</f>
        <v>43744</v>
      </c>
      <c r="Z34" s="376"/>
      <c r="AA34" s="375">
        <f>Y34+30</f>
        <v>43774</v>
      </c>
      <c r="AB34" s="375"/>
      <c r="AC34" s="375">
        <f>AA34+30</f>
        <v>43804</v>
      </c>
      <c r="AD34" s="376"/>
    </row>
    <row r="35" spans="2:30" ht="12.75" thickBot="1">
      <c r="B35" s="13" t="s">
        <v>19</v>
      </c>
      <c r="C35" s="26" t="s">
        <v>25</v>
      </c>
      <c r="D35" s="28"/>
      <c r="E35" s="14" t="s">
        <v>26</v>
      </c>
      <c r="F35" s="50"/>
      <c r="G35" s="96"/>
      <c r="H35" s="97" t="s">
        <v>11</v>
      </c>
      <c r="I35" s="28"/>
      <c r="J35" s="98" t="s">
        <v>10</v>
      </c>
      <c r="K35" s="31" t="s">
        <v>11</v>
      </c>
      <c r="L35" s="28" t="s">
        <v>10</v>
      </c>
      <c r="M35" s="29" t="s">
        <v>11</v>
      </c>
      <c r="N35" s="30" t="s">
        <v>10</v>
      </c>
      <c r="O35" s="29" t="s">
        <v>11</v>
      </c>
      <c r="P35" s="30" t="s">
        <v>10</v>
      </c>
      <c r="Q35" s="31" t="s">
        <v>11</v>
      </c>
      <c r="R35" s="28" t="s">
        <v>10</v>
      </c>
      <c r="S35" s="29" t="s">
        <v>11</v>
      </c>
      <c r="T35" s="30" t="s">
        <v>10</v>
      </c>
      <c r="U35" s="31" t="s">
        <v>11</v>
      </c>
      <c r="V35" s="99" t="s">
        <v>10</v>
      </c>
      <c r="W35" s="100" t="s">
        <v>11</v>
      </c>
      <c r="X35" s="32" t="s">
        <v>10</v>
      </c>
      <c r="Y35" s="32" t="s">
        <v>11</v>
      </c>
      <c r="Z35" s="33" t="s">
        <v>10</v>
      </c>
      <c r="AA35" s="100" t="s">
        <v>11</v>
      </c>
      <c r="AB35" s="32" t="s">
        <v>10</v>
      </c>
      <c r="AC35" s="32" t="s">
        <v>11</v>
      </c>
      <c r="AD35" s="33" t="s">
        <v>10</v>
      </c>
    </row>
    <row r="36" spans="2:30">
      <c r="B36" s="34" t="s">
        <v>38</v>
      </c>
      <c r="C36" s="35" t="s">
        <v>295</v>
      </c>
      <c r="D36" s="177" t="s">
        <v>298</v>
      </c>
      <c r="E36" s="55" t="s">
        <v>296</v>
      </c>
      <c r="F36" s="56"/>
      <c r="G36" s="246"/>
      <c r="H36" s="247">
        <f>SUM(K36,M36,O36,Q36,S36,U36,AA36,AC36,W36,Y36)</f>
        <v>0</v>
      </c>
      <c r="I36" s="273"/>
      <c r="J36" s="249">
        <f>SUM(L36,N36,P36,R36,T36,V36,AB36,AD36,X36,Z36)</f>
        <v>0</v>
      </c>
      <c r="K36" s="250"/>
      <c r="L36" s="251"/>
      <c r="M36" s="254"/>
      <c r="N36" s="252"/>
      <c r="O36" s="254"/>
      <c r="P36" s="252"/>
      <c r="Q36" s="254"/>
      <c r="R36" s="251"/>
      <c r="S36" s="254"/>
      <c r="T36" s="252"/>
      <c r="U36" s="253"/>
      <c r="V36" s="101"/>
      <c r="W36" s="102"/>
      <c r="X36" s="103"/>
      <c r="Y36" s="104"/>
      <c r="Z36" s="105"/>
      <c r="AA36" s="102"/>
      <c r="AB36" s="103"/>
      <c r="AC36" s="104"/>
      <c r="AD36" s="105"/>
    </row>
    <row r="37" spans="2:30">
      <c r="B37" s="34"/>
      <c r="C37" s="65" t="s">
        <v>108</v>
      </c>
      <c r="D37" s="66" t="s">
        <v>298</v>
      </c>
      <c r="E37" s="67" t="s">
        <v>299</v>
      </c>
      <c r="F37" s="68"/>
      <c r="G37" s="246"/>
      <c r="H37" s="247">
        <f>SUM(K37,M37,O37,Q37,S37,U37,AA37,AC37,W37,Y37)</f>
        <v>0</v>
      </c>
      <c r="I37" s="273"/>
      <c r="J37" s="249">
        <f t="shared" ref="J37:J39" si="10">SUM(L37,N37,P37,R37,T37,V37,AB37,AD37,X37,Z37)</f>
        <v>0</v>
      </c>
      <c r="K37" s="250"/>
      <c r="L37" s="251"/>
      <c r="M37" s="254"/>
      <c r="N37" s="252"/>
      <c r="O37" s="254"/>
      <c r="P37" s="252"/>
      <c r="Q37" s="254"/>
      <c r="R37" s="251"/>
      <c r="S37" s="254"/>
      <c r="T37" s="252"/>
      <c r="U37" s="254"/>
      <c r="V37" s="101"/>
      <c r="W37" s="58"/>
      <c r="X37" s="101"/>
      <c r="Y37" s="104"/>
      <c r="Z37" s="105"/>
      <c r="AA37" s="58"/>
      <c r="AB37" s="101"/>
      <c r="AC37" s="104"/>
      <c r="AD37" s="105"/>
    </row>
    <row r="38" spans="2:30">
      <c r="B38" s="34"/>
      <c r="C38" s="65" t="s">
        <v>297</v>
      </c>
      <c r="D38" s="66" t="s">
        <v>300</v>
      </c>
      <c r="E38" s="67" t="s">
        <v>301</v>
      </c>
      <c r="F38" s="68"/>
      <c r="G38" s="246"/>
      <c r="H38" s="247">
        <f t="shared" ref="H38:H39" si="11">SUM(K38,M38,O38,Q38,S38,U38,AA38,AC38,W38,Y38)</f>
        <v>0</v>
      </c>
      <c r="I38" s="273"/>
      <c r="J38" s="249">
        <f t="shared" si="10"/>
        <v>0</v>
      </c>
      <c r="K38" s="250"/>
      <c r="L38" s="251"/>
      <c r="M38" s="254"/>
      <c r="N38" s="252"/>
      <c r="O38" s="254"/>
      <c r="P38" s="252"/>
      <c r="Q38" s="253"/>
      <c r="R38" s="251"/>
      <c r="S38" s="254"/>
      <c r="T38" s="252"/>
      <c r="U38" s="253"/>
      <c r="V38" s="101"/>
      <c r="W38" s="60"/>
      <c r="X38" s="103"/>
      <c r="Y38" s="60"/>
      <c r="Z38" s="105"/>
      <c r="AA38" s="60"/>
      <c r="AB38" s="103"/>
      <c r="AC38" s="60"/>
      <c r="AD38" s="105"/>
    </row>
    <row r="39" spans="2:30" ht="12.75" thickBot="1">
      <c r="B39" s="34"/>
      <c r="C39" s="75" t="s">
        <v>24</v>
      </c>
      <c r="D39" s="76"/>
      <c r="E39" s="11"/>
      <c r="F39" s="77"/>
      <c r="G39" s="255"/>
      <c r="H39" s="274">
        <f t="shared" si="11"/>
        <v>0</v>
      </c>
      <c r="I39" s="275"/>
      <c r="J39" s="276">
        <f t="shared" si="10"/>
        <v>0</v>
      </c>
      <c r="K39" s="259">
        <f t="shared" ref="K39:AD39" si="12">SUM(K36:K38)</f>
        <v>0</v>
      </c>
      <c r="L39" s="260">
        <f t="shared" si="12"/>
        <v>0</v>
      </c>
      <c r="M39" s="261">
        <f t="shared" si="12"/>
        <v>0</v>
      </c>
      <c r="N39" s="262">
        <f t="shared" si="12"/>
        <v>0</v>
      </c>
      <c r="O39" s="261">
        <f t="shared" si="12"/>
        <v>0</v>
      </c>
      <c r="P39" s="262">
        <f t="shared" si="12"/>
        <v>0</v>
      </c>
      <c r="Q39" s="263">
        <f t="shared" si="12"/>
        <v>0</v>
      </c>
      <c r="R39" s="260">
        <f t="shared" si="12"/>
        <v>0</v>
      </c>
      <c r="S39" s="261">
        <f t="shared" si="12"/>
        <v>0</v>
      </c>
      <c r="T39" s="262">
        <f t="shared" si="12"/>
        <v>0</v>
      </c>
      <c r="U39" s="263">
        <f t="shared" si="12"/>
        <v>0</v>
      </c>
      <c r="V39" s="106">
        <f t="shared" si="12"/>
        <v>0</v>
      </c>
      <c r="W39" s="107">
        <f t="shared" si="12"/>
        <v>0</v>
      </c>
      <c r="X39" s="108">
        <f t="shared" si="12"/>
        <v>0</v>
      </c>
      <c r="Y39" s="109">
        <f t="shared" si="12"/>
        <v>0</v>
      </c>
      <c r="Z39" s="110">
        <f t="shared" si="12"/>
        <v>0</v>
      </c>
      <c r="AA39" s="107">
        <f t="shared" si="12"/>
        <v>0</v>
      </c>
      <c r="AB39" s="108">
        <f t="shared" si="12"/>
        <v>0</v>
      </c>
      <c r="AC39" s="109">
        <f t="shared" si="12"/>
        <v>0</v>
      </c>
      <c r="AD39" s="110">
        <f t="shared" si="12"/>
        <v>0</v>
      </c>
    </row>
    <row r="40" spans="2:30" ht="12.75" thickBot="1">
      <c r="B40" s="86"/>
      <c r="C40" s="87"/>
      <c r="D40" s="87"/>
      <c r="E40" s="87"/>
      <c r="F40" s="88" t="s">
        <v>24</v>
      </c>
      <c r="G40" s="111"/>
      <c r="H40" s="112">
        <f t="shared" ref="H40:AD40" si="13">H39</f>
        <v>0</v>
      </c>
      <c r="I40" s="112">
        <f t="shared" si="13"/>
        <v>0</v>
      </c>
      <c r="J40" s="112">
        <f t="shared" si="13"/>
        <v>0</v>
      </c>
      <c r="K40" s="112">
        <f t="shared" si="13"/>
        <v>0</v>
      </c>
      <c r="L40" s="112">
        <f t="shared" si="13"/>
        <v>0</v>
      </c>
      <c r="M40" s="112">
        <f t="shared" si="13"/>
        <v>0</v>
      </c>
      <c r="N40" s="112">
        <f t="shared" si="13"/>
        <v>0</v>
      </c>
      <c r="O40" s="112">
        <f t="shared" si="13"/>
        <v>0</v>
      </c>
      <c r="P40" s="112">
        <f t="shared" si="13"/>
        <v>0</v>
      </c>
      <c r="Q40" s="112">
        <f t="shared" si="13"/>
        <v>0</v>
      </c>
      <c r="R40" s="112">
        <f t="shared" si="13"/>
        <v>0</v>
      </c>
      <c r="S40" s="112">
        <f t="shared" si="13"/>
        <v>0</v>
      </c>
      <c r="T40" s="112">
        <f t="shared" si="13"/>
        <v>0</v>
      </c>
      <c r="U40" s="112">
        <f t="shared" si="13"/>
        <v>0</v>
      </c>
      <c r="V40" s="113">
        <f t="shared" si="13"/>
        <v>0</v>
      </c>
      <c r="W40" s="114">
        <f>W39</f>
        <v>0</v>
      </c>
      <c r="X40" s="115">
        <f>X39</f>
        <v>0</v>
      </c>
      <c r="Y40" s="115">
        <f t="shared" ref="Y40:Z40" si="14">Y39</f>
        <v>0</v>
      </c>
      <c r="Z40" s="116">
        <f t="shared" si="14"/>
        <v>0</v>
      </c>
      <c r="AA40" s="114">
        <f>AA39</f>
        <v>0</v>
      </c>
      <c r="AB40" s="115">
        <f>AB39</f>
        <v>0</v>
      </c>
      <c r="AC40" s="115">
        <f t="shared" si="13"/>
        <v>0</v>
      </c>
      <c r="AD40" s="116">
        <f t="shared" si="13"/>
        <v>0</v>
      </c>
    </row>
    <row r="42" spans="2:30" ht="20.100000000000001" customHeight="1" thickBot="1">
      <c r="B42" s="19" t="s">
        <v>41</v>
      </c>
    </row>
    <row r="43" spans="2:30">
      <c r="B43" s="377" t="s">
        <v>12</v>
      </c>
      <c r="C43" s="378"/>
      <c r="D43" s="378"/>
      <c r="E43" s="378"/>
      <c r="F43" s="379"/>
      <c r="G43" s="377" t="s">
        <v>24</v>
      </c>
      <c r="H43" s="378"/>
      <c r="I43" s="378"/>
      <c r="J43" s="379"/>
      <c r="K43" s="383" t="s">
        <v>18</v>
      </c>
      <c r="L43" s="384"/>
      <c r="M43" s="384"/>
      <c r="N43" s="384"/>
      <c r="O43" s="384"/>
      <c r="P43" s="384"/>
      <c r="Q43" s="384"/>
      <c r="R43" s="384"/>
      <c r="S43" s="384"/>
      <c r="T43" s="384"/>
      <c r="U43" s="384"/>
      <c r="V43" s="384"/>
      <c r="W43" s="384"/>
      <c r="X43" s="384"/>
      <c r="Y43" s="384"/>
      <c r="Z43" s="384"/>
      <c r="AA43" s="384"/>
      <c r="AB43" s="384"/>
      <c r="AC43" s="384"/>
      <c r="AD43" s="385"/>
    </row>
    <row r="44" spans="2:30">
      <c r="B44" s="380"/>
      <c r="C44" s="381"/>
      <c r="D44" s="381"/>
      <c r="E44" s="381"/>
      <c r="F44" s="382"/>
      <c r="G44" s="380"/>
      <c r="H44" s="381"/>
      <c r="I44" s="381"/>
      <c r="J44" s="382"/>
      <c r="K44" s="386">
        <f>K6</f>
        <v>43534</v>
      </c>
      <c r="L44" s="363"/>
      <c r="M44" s="387">
        <f>K44+30</f>
        <v>43564</v>
      </c>
      <c r="N44" s="388"/>
      <c r="O44" s="362">
        <f>M44+30</f>
        <v>43594</v>
      </c>
      <c r="P44" s="363"/>
      <c r="Q44" s="387">
        <f>O44+30</f>
        <v>43624</v>
      </c>
      <c r="R44" s="388"/>
      <c r="S44" s="362">
        <f>Q44+30</f>
        <v>43654</v>
      </c>
      <c r="T44" s="363"/>
      <c r="U44" s="375">
        <f>S44+30</f>
        <v>43684</v>
      </c>
      <c r="V44" s="375"/>
      <c r="W44" s="375">
        <f>U44+30</f>
        <v>43714</v>
      </c>
      <c r="X44" s="375"/>
      <c r="Y44" s="375">
        <f>W44+30</f>
        <v>43744</v>
      </c>
      <c r="Z44" s="376"/>
      <c r="AA44" s="375">
        <f>Y44+30</f>
        <v>43774</v>
      </c>
      <c r="AB44" s="375"/>
      <c r="AC44" s="375">
        <f>AA44+30</f>
        <v>43804</v>
      </c>
      <c r="AD44" s="376"/>
    </row>
    <row r="45" spans="2:30" ht="12.75" thickBot="1">
      <c r="B45" s="13" t="s">
        <v>19</v>
      </c>
      <c r="C45" s="26" t="s">
        <v>25</v>
      </c>
      <c r="D45" s="28"/>
      <c r="E45" s="14" t="s">
        <v>26</v>
      </c>
      <c r="F45" s="50"/>
      <c r="G45" s="96"/>
      <c r="H45" s="97" t="s">
        <v>11</v>
      </c>
      <c r="I45" s="28"/>
      <c r="J45" s="98" t="s">
        <v>10</v>
      </c>
      <c r="K45" s="13" t="s">
        <v>11</v>
      </c>
      <c r="L45" s="28" t="s">
        <v>10</v>
      </c>
      <c r="M45" s="29" t="s">
        <v>11</v>
      </c>
      <c r="N45" s="30" t="s">
        <v>10</v>
      </c>
      <c r="O45" s="29" t="s">
        <v>11</v>
      </c>
      <c r="P45" s="30" t="s">
        <v>10</v>
      </c>
      <c r="Q45" s="31" t="s">
        <v>11</v>
      </c>
      <c r="R45" s="28" t="s">
        <v>10</v>
      </c>
      <c r="S45" s="29" t="s">
        <v>11</v>
      </c>
      <c r="T45" s="30" t="s">
        <v>10</v>
      </c>
      <c r="U45" s="32" t="s">
        <v>11</v>
      </c>
      <c r="V45" s="32" t="s">
        <v>10</v>
      </c>
      <c r="W45" s="32" t="s">
        <v>11</v>
      </c>
      <c r="X45" s="32" t="s">
        <v>10</v>
      </c>
      <c r="Y45" s="32" t="s">
        <v>11</v>
      </c>
      <c r="Z45" s="33" t="s">
        <v>10</v>
      </c>
      <c r="AA45" s="32" t="s">
        <v>11</v>
      </c>
      <c r="AB45" s="32" t="s">
        <v>10</v>
      </c>
      <c r="AC45" s="32" t="s">
        <v>11</v>
      </c>
      <c r="AD45" s="33" t="s">
        <v>10</v>
      </c>
    </row>
    <row r="46" spans="2:30">
      <c r="B46" s="34" t="s">
        <v>28</v>
      </c>
      <c r="C46" s="35" t="s">
        <v>64</v>
      </c>
      <c r="D46" s="177"/>
      <c r="E46" s="55"/>
      <c r="F46" s="56"/>
      <c r="G46" s="246"/>
      <c r="H46" s="247">
        <f>SUM(K46,M46,O46,Q46,S46,U46,AA46,AC46,W46,Y46)</f>
        <v>0</v>
      </c>
      <c r="I46" s="273"/>
      <c r="J46" s="249">
        <f>SUM(L46,N46,P46,R46,T46,V46,AB46,AD46,X46,Z46)</f>
        <v>0</v>
      </c>
      <c r="K46" s="250"/>
      <c r="L46" s="251"/>
      <c r="M46" s="254"/>
      <c r="N46" s="252"/>
      <c r="O46" s="254"/>
      <c r="P46" s="252"/>
      <c r="Q46" s="253"/>
      <c r="R46" s="251"/>
      <c r="S46" s="254"/>
      <c r="T46" s="252"/>
      <c r="U46" s="277"/>
      <c r="V46" s="278"/>
      <c r="W46" s="277"/>
      <c r="X46" s="278"/>
      <c r="Y46" s="277"/>
      <c r="Z46" s="105"/>
      <c r="AA46" s="104"/>
      <c r="AB46" s="103"/>
      <c r="AC46" s="104"/>
      <c r="AD46" s="105"/>
    </row>
    <row r="47" spans="2:30">
      <c r="B47" s="34"/>
      <c r="C47" s="65" t="s">
        <v>40</v>
      </c>
      <c r="D47" s="66"/>
      <c r="E47" s="67"/>
      <c r="F47" s="68"/>
      <c r="G47" s="246"/>
      <c r="H47" s="247">
        <f t="shared" ref="H47:H49" si="15">SUM(K47,M47,O47,Q47,S47,U47,AA47,AC47,W47,Y47)</f>
        <v>0</v>
      </c>
      <c r="I47" s="273"/>
      <c r="J47" s="249">
        <f t="shared" ref="J47:J49" si="16">SUM(L47,N47,P47,R47,T47,V47,AB47,AD47,X47,Z47)</f>
        <v>0</v>
      </c>
      <c r="K47" s="250"/>
      <c r="L47" s="251"/>
      <c r="M47" s="254"/>
      <c r="N47" s="252"/>
      <c r="O47" s="254"/>
      <c r="P47" s="252"/>
      <c r="Q47" s="253"/>
      <c r="R47" s="251"/>
      <c r="S47" s="254"/>
      <c r="T47" s="252"/>
      <c r="U47" s="277"/>
      <c r="V47" s="278"/>
      <c r="W47" s="277"/>
      <c r="X47" s="252"/>
      <c r="Y47" s="277"/>
      <c r="Z47" s="105"/>
      <c r="AA47" s="104"/>
      <c r="AB47" s="59"/>
      <c r="AC47" s="104"/>
      <c r="AD47" s="105"/>
    </row>
    <row r="48" spans="2:30">
      <c r="B48" s="34"/>
      <c r="C48" s="65" t="s">
        <v>39</v>
      </c>
      <c r="D48" s="66"/>
      <c r="E48" s="67"/>
      <c r="F48" s="68"/>
      <c r="G48" s="246"/>
      <c r="H48" s="247">
        <f t="shared" si="15"/>
        <v>0</v>
      </c>
      <c r="I48" s="273"/>
      <c r="J48" s="249">
        <f t="shared" si="16"/>
        <v>0</v>
      </c>
      <c r="K48" s="250"/>
      <c r="L48" s="251"/>
      <c r="M48" s="254"/>
      <c r="N48" s="252"/>
      <c r="O48" s="254"/>
      <c r="P48" s="252"/>
      <c r="Q48" s="253"/>
      <c r="R48" s="251"/>
      <c r="S48" s="254"/>
      <c r="T48" s="252"/>
      <c r="U48" s="277"/>
      <c r="V48" s="278"/>
      <c r="W48" s="277"/>
      <c r="X48" s="278"/>
      <c r="Y48" s="277"/>
      <c r="Z48" s="105"/>
      <c r="AA48" s="104"/>
      <c r="AB48" s="103"/>
      <c r="AC48" s="104"/>
      <c r="AD48" s="105"/>
    </row>
    <row r="49" spans="2:30">
      <c r="B49" s="34"/>
      <c r="C49" s="117"/>
      <c r="D49" s="118"/>
      <c r="E49" s="11"/>
      <c r="F49" s="77" t="s">
        <v>15</v>
      </c>
      <c r="G49" s="255"/>
      <c r="H49" s="274">
        <f t="shared" si="15"/>
        <v>0</v>
      </c>
      <c r="I49" s="275"/>
      <c r="J49" s="276">
        <f t="shared" si="16"/>
        <v>0</v>
      </c>
      <c r="K49" s="259">
        <f t="shared" ref="K49:AD49" si="17">SUM(K46:K48)</f>
        <v>0</v>
      </c>
      <c r="L49" s="260">
        <f t="shared" si="17"/>
        <v>0</v>
      </c>
      <c r="M49" s="259">
        <f t="shared" si="17"/>
        <v>0</v>
      </c>
      <c r="N49" s="262">
        <f t="shared" si="17"/>
        <v>0</v>
      </c>
      <c r="O49" s="261">
        <f t="shared" si="17"/>
        <v>0</v>
      </c>
      <c r="P49" s="262">
        <f t="shared" si="17"/>
        <v>0</v>
      </c>
      <c r="Q49" s="263">
        <f t="shared" si="17"/>
        <v>0</v>
      </c>
      <c r="R49" s="260">
        <f t="shared" si="17"/>
        <v>0</v>
      </c>
      <c r="S49" s="261">
        <f t="shared" si="17"/>
        <v>0</v>
      </c>
      <c r="T49" s="262">
        <f t="shared" si="17"/>
        <v>0</v>
      </c>
      <c r="U49" s="279">
        <f t="shared" si="17"/>
        <v>0</v>
      </c>
      <c r="V49" s="280">
        <f t="shared" si="17"/>
        <v>0</v>
      </c>
      <c r="W49" s="279">
        <f>SUM(W46:W48)</f>
        <v>0</v>
      </c>
      <c r="X49" s="280">
        <f>SUM(X46:X48)</f>
        <v>0</v>
      </c>
      <c r="Y49" s="279">
        <f t="shared" ref="Y49:Z49" si="18">SUM(Y46:Y48)</f>
        <v>0</v>
      </c>
      <c r="Z49" s="110">
        <f t="shared" si="18"/>
        <v>0</v>
      </c>
      <c r="AA49" s="119">
        <f>SUM(AA46:AA48)</f>
        <v>0</v>
      </c>
      <c r="AB49" s="108">
        <f>SUM(AB46:AB48)</f>
        <v>0</v>
      </c>
      <c r="AC49" s="119">
        <f t="shared" si="17"/>
        <v>0</v>
      </c>
      <c r="AD49" s="110">
        <f t="shared" si="17"/>
        <v>0</v>
      </c>
    </row>
    <row r="50" spans="2:30">
      <c r="B50" s="34" t="s">
        <v>29</v>
      </c>
      <c r="C50" s="120" t="s">
        <v>0</v>
      </c>
      <c r="D50" s="121"/>
      <c r="E50" s="122"/>
      <c r="F50" s="123"/>
      <c r="G50" s="246"/>
      <c r="H50" s="247">
        <f>SUM(K50,M50,O50,Q50,S50,U50,AA50,AC50,W50,Y50)</f>
        <v>0</v>
      </c>
      <c r="I50" s="273"/>
      <c r="J50" s="249">
        <f>SUM(L50,N50,P50,R50,T50,V50,AB50,AD50,X50,Z50)</f>
        <v>0</v>
      </c>
      <c r="K50" s="281">
        <f t="shared" ref="K50:AD50" si="19">K15</f>
        <v>0</v>
      </c>
      <c r="L50" s="282">
        <f t="shared" si="19"/>
        <v>0</v>
      </c>
      <c r="M50" s="283">
        <f t="shared" si="19"/>
        <v>0</v>
      </c>
      <c r="N50" s="284">
        <f t="shared" si="19"/>
        <v>0</v>
      </c>
      <c r="O50" s="283">
        <f t="shared" si="19"/>
        <v>0</v>
      </c>
      <c r="P50" s="284">
        <f t="shared" si="19"/>
        <v>0</v>
      </c>
      <c r="Q50" s="285">
        <f t="shared" si="19"/>
        <v>0</v>
      </c>
      <c r="R50" s="282">
        <f t="shared" si="19"/>
        <v>0</v>
      </c>
      <c r="S50" s="283">
        <f t="shared" si="19"/>
        <v>0</v>
      </c>
      <c r="T50" s="284">
        <f t="shared" si="19"/>
        <v>0</v>
      </c>
      <c r="U50" s="286">
        <f t="shared" si="19"/>
        <v>0</v>
      </c>
      <c r="V50" s="287">
        <f t="shared" si="19"/>
        <v>0</v>
      </c>
      <c r="W50" s="286">
        <f t="shared" si="19"/>
        <v>0</v>
      </c>
      <c r="X50" s="287">
        <f t="shared" si="19"/>
        <v>0</v>
      </c>
      <c r="Y50" s="286">
        <f t="shared" si="19"/>
        <v>0</v>
      </c>
      <c r="Z50" s="126">
        <f t="shared" ref="Z50" si="20">Z15</f>
        <v>0</v>
      </c>
      <c r="AA50" s="124">
        <f t="shared" si="19"/>
        <v>0</v>
      </c>
      <c r="AB50" s="125">
        <f t="shared" si="19"/>
        <v>0</v>
      </c>
      <c r="AC50" s="124">
        <f t="shared" si="19"/>
        <v>0</v>
      </c>
      <c r="AD50" s="126">
        <f t="shared" si="19"/>
        <v>0</v>
      </c>
    </row>
    <row r="51" spans="2:30">
      <c r="B51" s="34"/>
      <c r="C51" s="127" t="s">
        <v>1</v>
      </c>
      <c r="D51" s="128"/>
      <c r="E51" s="129"/>
      <c r="F51" s="130"/>
      <c r="G51" s="246"/>
      <c r="H51" s="247">
        <f t="shared" ref="H51:H53" si="21">SUM(K51,M51,O51,Q51,S51,U51,AA51,AC51,W51,Y51)</f>
        <v>0</v>
      </c>
      <c r="I51" s="273"/>
      <c r="J51" s="249">
        <f t="shared" ref="J51:J54" si="22">SUM(L51,N51,P51,R51,T51,V51,AB51,AD51)</f>
        <v>0</v>
      </c>
      <c r="K51" s="288">
        <f t="shared" ref="K51:AD51" si="23">K30</f>
        <v>0</v>
      </c>
      <c r="L51" s="289">
        <f t="shared" si="23"/>
        <v>0</v>
      </c>
      <c r="M51" s="290">
        <f t="shared" si="23"/>
        <v>0</v>
      </c>
      <c r="N51" s="291">
        <f t="shared" si="23"/>
        <v>0</v>
      </c>
      <c r="O51" s="290">
        <f t="shared" si="23"/>
        <v>0</v>
      </c>
      <c r="P51" s="291">
        <f t="shared" si="23"/>
        <v>0</v>
      </c>
      <c r="Q51" s="292">
        <f t="shared" si="23"/>
        <v>0</v>
      </c>
      <c r="R51" s="289">
        <f t="shared" si="23"/>
        <v>0</v>
      </c>
      <c r="S51" s="290">
        <f t="shared" si="23"/>
        <v>0</v>
      </c>
      <c r="T51" s="291">
        <f t="shared" si="23"/>
        <v>0</v>
      </c>
      <c r="U51" s="293">
        <f t="shared" si="23"/>
        <v>0</v>
      </c>
      <c r="V51" s="294">
        <f t="shared" si="23"/>
        <v>0</v>
      </c>
      <c r="W51" s="293">
        <f t="shared" si="23"/>
        <v>0</v>
      </c>
      <c r="X51" s="294">
        <f t="shared" si="23"/>
        <v>0</v>
      </c>
      <c r="Y51" s="293">
        <f t="shared" si="23"/>
        <v>0</v>
      </c>
      <c r="Z51" s="133">
        <f t="shared" si="23"/>
        <v>0</v>
      </c>
      <c r="AA51" s="131">
        <f t="shared" si="23"/>
        <v>0</v>
      </c>
      <c r="AB51" s="132">
        <f t="shared" si="23"/>
        <v>0</v>
      </c>
      <c r="AC51" s="131">
        <f t="shared" si="23"/>
        <v>0</v>
      </c>
      <c r="AD51" s="133">
        <f t="shared" si="23"/>
        <v>0</v>
      </c>
    </row>
    <row r="52" spans="2:30">
      <c r="B52" s="34"/>
      <c r="C52" s="127" t="s">
        <v>2</v>
      </c>
      <c r="D52" s="128"/>
      <c r="E52" s="129"/>
      <c r="F52" s="130"/>
      <c r="G52" s="246"/>
      <c r="H52" s="247">
        <f t="shared" si="21"/>
        <v>0</v>
      </c>
      <c r="I52" s="273"/>
      <c r="J52" s="249">
        <f t="shared" si="22"/>
        <v>0</v>
      </c>
      <c r="K52" s="281">
        <f t="shared" ref="K52:AD52" si="24">K40</f>
        <v>0</v>
      </c>
      <c r="L52" s="282">
        <f t="shared" si="24"/>
        <v>0</v>
      </c>
      <c r="M52" s="283">
        <f t="shared" si="24"/>
        <v>0</v>
      </c>
      <c r="N52" s="284">
        <f t="shared" si="24"/>
        <v>0</v>
      </c>
      <c r="O52" s="283">
        <f t="shared" si="24"/>
        <v>0</v>
      </c>
      <c r="P52" s="284">
        <f t="shared" si="24"/>
        <v>0</v>
      </c>
      <c r="Q52" s="285">
        <f t="shared" si="24"/>
        <v>0</v>
      </c>
      <c r="R52" s="282">
        <f t="shared" si="24"/>
        <v>0</v>
      </c>
      <c r="S52" s="283">
        <f t="shared" si="24"/>
        <v>0</v>
      </c>
      <c r="T52" s="284">
        <f t="shared" si="24"/>
        <v>0</v>
      </c>
      <c r="U52" s="286">
        <f t="shared" si="24"/>
        <v>0</v>
      </c>
      <c r="V52" s="287">
        <f t="shared" si="24"/>
        <v>0</v>
      </c>
      <c r="W52" s="286">
        <f>W40</f>
        <v>0</v>
      </c>
      <c r="X52" s="287">
        <f>X40</f>
        <v>0</v>
      </c>
      <c r="Y52" s="286">
        <f t="shared" ref="Y52:Z52" si="25">Y40</f>
        <v>0</v>
      </c>
      <c r="Z52" s="126">
        <f t="shared" si="25"/>
        <v>0</v>
      </c>
      <c r="AA52" s="124">
        <f>AA40</f>
        <v>0</v>
      </c>
      <c r="AB52" s="125">
        <f>AB40</f>
        <v>0</v>
      </c>
      <c r="AC52" s="124">
        <f t="shared" si="24"/>
        <v>0</v>
      </c>
      <c r="AD52" s="126">
        <f t="shared" si="24"/>
        <v>0</v>
      </c>
    </row>
    <row r="53" spans="2:30">
      <c r="B53" s="34"/>
      <c r="C53" s="127" t="s">
        <v>3</v>
      </c>
      <c r="D53" s="128" t="s">
        <v>4</v>
      </c>
      <c r="E53" s="129"/>
      <c r="F53" s="130"/>
      <c r="G53" s="246"/>
      <c r="H53" s="247">
        <f t="shared" si="21"/>
        <v>0</v>
      </c>
      <c r="I53" s="273"/>
      <c r="J53" s="249">
        <f t="shared" si="22"/>
        <v>0</v>
      </c>
      <c r="K53" s="284">
        <f>K50*'04.indirect'!$D$4</f>
        <v>0</v>
      </c>
      <c r="L53" s="284">
        <f>L50*'04.indirect'!$D$4</f>
        <v>0</v>
      </c>
      <c r="M53" s="284">
        <f>M50*'04.indirect'!$D$4</f>
        <v>0</v>
      </c>
      <c r="N53" s="284">
        <f>N50*'04.indirect'!$D$4</f>
        <v>0</v>
      </c>
      <c r="O53" s="284">
        <f>O50*'04.indirect'!$D$4</f>
        <v>0</v>
      </c>
      <c r="P53" s="284">
        <f>P50*'04.indirect'!$D$4</f>
        <v>0</v>
      </c>
      <c r="Q53" s="284">
        <f>Q50*'04.indirect'!$D$4</f>
        <v>0</v>
      </c>
      <c r="R53" s="284">
        <f>R50*'04.indirect'!$D$4</f>
        <v>0</v>
      </c>
      <c r="S53" s="284">
        <f>S50*'04.indirect'!$D$4</f>
        <v>0</v>
      </c>
      <c r="T53" s="284">
        <f>T50*'04.indirect'!$D$4</f>
        <v>0</v>
      </c>
      <c r="U53" s="287">
        <f>U50*'04.indirect'!$D$4</f>
        <v>0</v>
      </c>
      <c r="V53" s="287">
        <f>V50*'04.indirect'!$D$4</f>
        <v>0</v>
      </c>
      <c r="W53" s="287">
        <f>W50*'04.indirect'!$D$4</f>
        <v>0</v>
      </c>
      <c r="X53" s="287">
        <f>X50*'04.indirect'!$D$4</f>
        <v>0</v>
      </c>
      <c r="Y53" s="287">
        <f>Y50*'04.indirect'!$D$4</f>
        <v>0</v>
      </c>
      <c r="Z53" s="126">
        <f>Z50*'04.indirect'!$D$4</f>
        <v>0</v>
      </c>
      <c r="AA53" s="125">
        <f>AA50*'04.indirect'!$D$4</f>
        <v>0</v>
      </c>
      <c r="AB53" s="125">
        <f>AB50*'04.indirect'!$D$4</f>
        <v>0</v>
      </c>
      <c r="AC53" s="125">
        <f>AC50*'04.indirect'!$D$4</f>
        <v>0</v>
      </c>
      <c r="AD53" s="126">
        <f>AD50*'04.indirect'!$D$4</f>
        <v>0</v>
      </c>
    </row>
    <row r="54" spans="2:30" ht="12.75" thickBot="1">
      <c r="B54" s="134"/>
      <c r="C54" s="28"/>
      <c r="D54" s="135"/>
      <c r="E54" s="14"/>
      <c r="F54" s="168" t="s">
        <v>13</v>
      </c>
      <c r="G54" s="295"/>
      <c r="H54" s="274">
        <f>SUM(K54,M54,O54,Q54,S54,U54,AA54,AC54,W54,Y54)</f>
        <v>0</v>
      </c>
      <c r="I54" s="275"/>
      <c r="J54" s="296">
        <f t="shared" si="22"/>
        <v>0</v>
      </c>
      <c r="K54" s="297">
        <f t="shared" ref="K54:AD54" si="26">SUM(K50:K53)</f>
        <v>0</v>
      </c>
      <c r="L54" s="298">
        <f t="shared" si="26"/>
        <v>0</v>
      </c>
      <c r="M54" s="299">
        <f t="shared" si="26"/>
        <v>0</v>
      </c>
      <c r="N54" s="300">
        <f t="shared" si="26"/>
        <v>0</v>
      </c>
      <c r="O54" s="299">
        <f t="shared" si="26"/>
        <v>0</v>
      </c>
      <c r="P54" s="300">
        <f t="shared" si="26"/>
        <v>0</v>
      </c>
      <c r="Q54" s="301">
        <f t="shared" si="26"/>
        <v>0</v>
      </c>
      <c r="R54" s="298">
        <f t="shared" si="26"/>
        <v>0</v>
      </c>
      <c r="S54" s="299">
        <f t="shared" si="26"/>
        <v>0</v>
      </c>
      <c r="T54" s="300">
        <f t="shared" si="26"/>
        <v>0</v>
      </c>
      <c r="U54" s="302">
        <f t="shared" si="26"/>
        <v>0</v>
      </c>
      <c r="V54" s="303">
        <f t="shared" si="26"/>
        <v>0</v>
      </c>
      <c r="W54" s="302">
        <f>SUM(W50:W53)</f>
        <v>0</v>
      </c>
      <c r="X54" s="303">
        <f>SUM(X50:X53)</f>
        <v>0</v>
      </c>
      <c r="Y54" s="302">
        <f t="shared" ref="Y54:Z54" si="27">SUM(Y50:Y53)</f>
        <v>0</v>
      </c>
      <c r="Z54" s="137">
        <f t="shared" si="27"/>
        <v>0</v>
      </c>
      <c r="AA54" s="109">
        <f>SUM(AA50:AA53)</f>
        <v>0</v>
      </c>
      <c r="AB54" s="136">
        <f>SUM(AB50:AB53)</f>
        <v>0</v>
      </c>
      <c r="AC54" s="109">
        <f t="shared" si="26"/>
        <v>0</v>
      </c>
      <c r="AD54" s="137">
        <f t="shared" si="26"/>
        <v>0</v>
      </c>
    </row>
    <row r="55" spans="2:30" ht="42" customHeight="1" thickTop="1" thickBot="1">
      <c r="B55" s="138"/>
      <c r="C55" s="139"/>
      <c r="D55" s="139"/>
      <c r="E55" s="139"/>
      <c r="F55" s="169" t="s">
        <v>14</v>
      </c>
      <c r="G55" s="304"/>
      <c r="H55" s="305">
        <f>SUM(K55,M55,O55,Q55,S55,U55,AA55,AC55,W55,Y55)</f>
        <v>0</v>
      </c>
      <c r="I55" s="306"/>
      <c r="J55" s="307">
        <f>SUM(L55,N55,P55,R55,T55,V55,AB55,AD55,X55,Z55)</f>
        <v>0</v>
      </c>
      <c r="K55" s="308">
        <f>K49-K54</f>
        <v>0</v>
      </c>
      <c r="L55" s="309">
        <f t="shared" ref="L55:AD55" si="28">L49-L54</f>
        <v>0</v>
      </c>
      <c r="M55" s="310">
        <f t="shared" si="28"/>
        <v>0</v>
      </c>
      <c r="N55" s="311">
        <f t="shared" si="28"/>
        <v>0</v>
      </c>
      <c r="O55" s="310">
        <f t="shared" si="28"/>
        <v>0</v>
      </c>
      <c r="P55" s="311">
        <f t="shared" si="28"/>
        <v>0</v>
      </c>
      <c r="Q55" s="312">
        <f t="shared" si="28"/>
        <v>0</v>
      </c>
      <c r="R55" s="309">
        <f t="shared" si="28"/>
        <v>0</v>
      </c>
      <c r="S55" s="310">
        <f t="shared" si="28"/>
        <v>0</v>
      </c>
      <c r="T55" s="311">
        <f t="shared" si="28"/>
        <v>0</v>
      </c>
      <c r="U55" s="313">
        <f t="shared" si="28"/>
        <v>0</v>
      </c>
      <c r="V55" s="314">
        <f t="shared" si="28"/>
        <v>0</v>
      </c>
      <c r="W55" s="313">
        <f>W49-W54</f>
        <v>0</v>
      </c>
      <c r="X55" s="314">
        <f>X49-X54</f>
        <v>0</v>
      </c>
      <c r="Y55" s="313">
        <f t="shared" ref="Y55:Z55" si="29">Y49-Y54</f>
        <v>0</v>
      </c>
      <c r="Z55" s="142">
        <f t="shared" si="29"/>
        <v>0</v>
      </c>
      <c r="AA55" s="140">
        <f>AA49-AA54</f>
        <v>0</v>
      </c>
      <c r="AB55" s="141">
        <f>AB49-AB54</f>
        <v>0</v>
      </c>
      <c r="AC55" s="140">
        <f t="shared" si="28"/>
        <v>0</v>
      </c>
      <c r="AD55" s="142">
        <f t="shared" si="28"/>
        <v>0</v>
      </c>
    </row>
    <row r="56" spans="2:30" ht="12.75" thickTop="1">
      <c r="B56" s="143"/>
      <c r="C56" s="144"/>
      <c r="D56" s="144"/>
      <c r="E56" s="144"/>
      <c r="F56" s="167" t="s">
        <v>30</v>
      </c>
      <c r="G56" s="315"/>
      <c r="H56" s="316" t="e">
        <f>H55/H49</f>
        <v>#DIV/0!</v>
      </c>
      <c r="I56" s="317"/>
      <c r="J56" s="318" t="e">
        <f t="shared" ref="J56:AD56" si="30">J55/J49</f>
        <v>#DIV/0!</v>
      </c>
      <c r="K56" s="319" t="e">
        <f t="shared" si="30"/>
        <v>#DIV/0!</v>
      </c>
      <c r="L56" s="320" t="e">
        <f t="shared" si="30"/>
        <v>#DIV/0!</v>
      </c>
      <c r="M56" s="321" t="e">
        <f>M55/M49</f>
        <v>#DIV/0!</v>
      </c>
      <c r="N56" s="322" t="e">
        <f>N55/N49</f>
        <v>#DIV/0!</v>
      </c>
      <c r="O56" s="321" t="e">
        <f t="shared" si="30"/>
        <v>#DIV/0!</v>
      </c>
      <c r="P56" s="320" t="e">
        <f t="shared" si="30"/>
        <v>#DIV/0!</v>
      </c>
      <c r="Q56" s="321" t="e">
        <f t="shared" si="30"/>
        <v>#DIV/0!</v>
      </c>
      <c r="R56" s="320" t="e">
        <f t="shared" si="30"/>
        <v>#DIV/0!</v>
      </c>
      <c r="S56" s="321" t="e">
        <f t="shared" si="30"/>
        <v>#DIV/0!</v>
      </c>
      <c r="T56" s="320" t="e">
        <f t="shared" si="30"/>
        <v>#DIV/0!</v>
      </c>
      <c r="U56" s="323" t="e">
        <f t="shared" si="30"/>
        <v>#DIV/0!</v>
      </c>
      <c r="V56" s="324" t="e">
        <f t="shared" si="30"/>
        <v>#DIV/0!</v>
      </c>
      <c r="W56" s="323" t="e">
        <f>W55/W49</f>
        <v>#DIV/0!</v>
      </c>
      <c r="X56" s="324" t="e">
        <f>X55/X49</f>
        <v>#DIV/0!</v>
      </c>
      <c r="Y56" s="323" t="e">
        <f t="shared" ref="Y56:Z56" si="31">Y55/Y49</f>
        <v>#DIV/0!</v>
      </c>
      <c r="Z56" s="147" t="e">
        <f t="shared" si="31"/>
        <v>#DIV/0!</v>
      </c>
      <c r="AA56" s="145" t="e">
        <f>AA55/AA49</f>
        <v>#DIV/0!</v>
      </c>
      <c r="AB56" s="146" t="e">
        <f>AB55/AB49</f>
        <v>#DIV/0!</v>
      </c>
      <c r="AC56" s="145" t="e">
        <f t="shared" si="30"/>
        <v>#DIV/0!</v>
      </c>
      <c r="AD56" s="147" t="e">
        <f t="shared" si="30"/>
        <v>#DIV/0!</v>
      </c>
    </row>
    <row r="57" spans="2:30" ht="12.75" thickBot="1">
      <c r="B57" s="148"/>
      <c r="C57" s="149"/>
      <c r="D57" s="149"/>
      <c r="E57" s="149"/>
      <c r="F57" s="150" t="s">
        <v>31</v>
      </c>
      <c r="G57" s="325"/>
      <c r="H57" s="326"/>
      <c r="I57" s="327"/>
      <c r="J57" s="328"/>
      <c r="K57" s="329">
        <f>K55</f>
        <v>0</v>
      </c>
      <c r="L57" s="330">
        <f>L55</f>
        <v>0</v>
      </c>
      <c r="M57" s="331">
        <f t="shared" ref="M57:AD57" si="32">K57+M55</f>
        <v>0</v>
      </c>
      <c r="N57" s="332">
        <f t="shared" si="32"/>
        <v>0</v>
      </c>
      <c r="O57" s="331">
        <f t="shared" si="32"/>
        <v>0</v>
      </c>
      <c r="P57" s="332">
        <f t="shared" si="32"/>
        <v>0</v>
      </c>
      <c r="Q57" s="333">
        <f>O57+Q55</f>
        <v>0</v>
      </c>
      <c r="R57" s="330">
        <f t="shared" si="32"/>
        <v>0</v>
      </c>
      <c r="S57" s="331">
        <f t="shared" si="32"/>
        <v>0</v>
      </c>
      <c r="T57" s="332">
        <f t="shared" si="32"/>
        <v>0</v>
      </c>
      <c r="U57" s="334">
        <f t="shared" si="32"/>
        <v>0</v>
      </c>
      <c r="V57" s="335">
        <f t="shared" si="32"/>
        <v>0</v>
      </c>
      <c r="W57" s="334">
        <f>U57+W55</f>
        <v>0</v>
      </c>
      <c r="X57" s="335">
        <f>V57+X55</f>
        <v>0</v>
      </c>
      <c r="Y57" s="334">
        <f>W57+Y55</f>
        <v>0</v>
      </c>
      <c r="Z57" s="153">
        <f t="shared" ref="Z57" si="33">X57+Z55</f>
        <v>0</v>
      </c>
      <c r="AA57" s="151">
        <f>Y57+AA55</f>
        <v>0</v>
      </c>
      <c r="AB57" s="152">
        <f>Z57+AB55</f>
        <v>0</v>
      </c>
      <c r="AC57" s="151">
        <f t="shared" si="32"/>
        <v>0</v>
      </c>
      <c r="AD57" s="153">
        <f t="shared" si="32"/>
        <v>0</v>
      </c>
    </row>
    <row r="59" spans="2:30" ht="13.5">
      <c r="B59" s="367" t="s">
        <v>97</v>
      </c>
      <c r="C59" s="368"/>
      <c r="D59" s="368"/>
      <c r="E59" s="369"/>
      <c r="F59" s="365">
        <f>-(H55)</f>
        <v>0</v>
      </c>
      <c r="G59" s="365"/>
      <c r="H59" s="365"/>
      <c r="I59" s="365"/>
    </row>
    <row r="60" spans="2:30" ht="13.5">
      <c r="B60" s="364" t="s">
        <v>98</v>
      </c>
      <c r="C60" s="364"/>
      <c r="D60" s="364"/>
      <c r="E60" s="336">
        <v>0.2</v>
      </c>
      <c r="F60" s="365">
        <f>-(-F59-F59*E60)</f>
        <v>0</v>
      </c>
      <c r="G60" s="365"/>
      <c r="H60" s="365"/>
      <c r="I60" s="365"/>
      <c r="J60" s="18"/>
    </row>
    <row r="61" spans="2:30" ht="13.5">
      <c r="B61" s="371" t="s">
        <v>99</v>
      </c>
      <c r="C61" s="372"/>
      <c r="D61" s="372"/>
      <c r="E61" s="337"/>
      <c r="F61" s="373">
        <f>F60-F59</f>
        <v>0</v>
      </c>
      <c r="G61" s="373"/>
      <c r="H61" s="373"/>
      <c r="I61" s="373"/>
      <c r="J61" s="18"/>
    </row>
    <row r="62" spans="2:30" ht="13.5">
      <c r="B62" s="338"/>
      <c r="C62" s="338"/>
      <c r="D62" s="338"/>
      <c r="E62" s="338"/>
      <c r="F62" s="338"/>
      <c r="G62" s="338"/>
      <c r="H62" s="338"/>
      <c r="I62" s="339"/>
    </row>
    <row r="63" spans="2:30" ht="13.5">
      <c r="B63" s="338"/>
      <c r="C63" s="338"/>
      <c r="D63" s="340" t="s">
        <v>222</v>
      </c>
      <c r="E63" s="341">
        <v>0.3</v>
      </c>
      <c r="F63" s="366">
        <f>-(-F59-F59*E63)</f>
        <v>0</v>
      </c>
      <c r="G63" s="366"/>
      <c r="H63" s="366"/>
      <c r="I63" s="366"/>
    </row>
    <row r="64" spans="2:30" ht="13.5">
      <c r="B64" s="338"/>
      <c r="C64" s="338"/>
      <c r="D64" s="338"/>
      <c r="E64" s="342" t="s">
        <v>111</v>
      </c>
      <c r="F64" s="370">
        <f>F63-F59</f>
        <v>0</v>
      </c>
      <c r="G64" s="370"/>
      <c r="H64" s="370"/>
      <c r="I64" s="370"/>
    </row>
    <row r="65" spans="2:9" ht="13.5">
      <c r="B65" s="338"/>
      <c r="C65" s="338"/>
      <c r="D65" s="338"/>
      <c r="E65" s="338"/>
      <c r="F65" s="374"/>
      <c r="G65" s="374"/>
      <c r="H65" s="374"/>
      <c r="I65" s="374"/>
    </row>
    <row r="66" spans="2:9" ht="13.5">
      <c r="B66" s="338"/>
      <c r="C66" s="338"/>
      <c r="D66" s="340" t="s">
        <v>222</v>
      </c>
      <c r="E66" s="341">
        <v>0.4</v>
      </c>
      <c r="F66" s="366">
        <f>-(-F59-F59*E66)</f>
        <v>0</v>
      </c>
      <c r="G66" s="366"/>
      <c r="H66" s="366"/>
      <c r="I66" s="366"/>
    </row>
    <row r="67" spans="2:9" ht="13.5">
      <c r="B67" s="338"/>
      <c r="C67" s="338"/>
      <c r="D67" s="338"/>
      <c r="E67" s="342" t="s">
        <v>111</v>
      </c>
      <c r="F67" s="370">
        <f>F66-F59</f>
        <v>0</v>
      </c>
      <c r="G67" s="370"/>
      <c r="H67" s="370"/>
      <c r="I67" s="370"/>
    </row>
    <row r="68" spans="2:9" ht="13.5">
      <c r="B68" s="338"/>
      <c r="C68" s="338"/>
      <c r="D68" s="338"/>
      <c r="E68" s="338"/>
      <c r="F68" s="338"/>
      <c r="G68" s="338"/>
      <c r="H68" s="338"/>
      <c r="I68" s="339"/>
    </row>
    <row r="69" spans="2:9" ht="13.5">
      <c r="B69" s="338"/>
      <c r="C69" s="338"/>
      <c r="D69" s="340" t="s">
        <v>221</v>
      </c>
      <c r="E69" s="343">
        <v>10000000</v>
      </c>
      <c r="F69" s="366">
        <f>-(E69+F59)</f>
        <v>-10000000</v>
      </c>
      <c r="G69" s="366"/>
      <c r="H69" s="366"/>
      <c r="I69" s="366"/>
    </row>
    <row r="70" spans="2:9" ht="13.5">
      <c r="B70" s="338"/>
      <c r="C70" s="338"/>
      <c r="D70" s="338"/>
      <c r="E70" s="342" t="s">
        <v>111</v>
      </c>
      <c r="F70" s="370">
        <f>E69</f>
        <v>10000000</v>
      </c>
      <c r="G70" s="370"/>
      <c r="H70" s="370"/>
      <c r="I70" s="370"/>
    </row>
  </sheetData>
  <mergeCells count="70">
    <mergeCell ref="B5:F6"/>
    <mergeCell ref="G5:J5"/>
    <mergeCell ref="B18:F19"/>
    <mergeCell ref="G18:J19"/>
    <mergeCell ref="D28:F28"/>
    <mergeCell ref="K5:AD5"/>
    <mergeCell ref="G6:H6"/>
    <mergeCell ref="I6:J6"/>
    <mergeCell ref="K6:L6"/>
    <mergeCell ref="M6:N6"/>
    <mergeCell ref="O6:P6"/>
    <mergeCell ref="Q6:R6"/>
    <mergeCell ref="S6:T6"/>
    <mergeCell ref="U6:V6"/>
    <mergeCell ref="W6:X6"/>
    <mergeCell ref="Y6:Z6"/>
    <mergeCell ref="AA6:AB6"/>
    <mergeCell ref="AC6:AD6"/>
    <mergeCell ref="M34:N34"/>
    <mergeCell ref="D21:F21"/>
    <mergeCell ref="D22:F22"/>
    <mergeCell ref="AA19:AB19"/>
    <mergeCell ref="AC19:AD19"/>
    <mergeCell ref="B33:F34"/>
    <mergeCell ref="G33:J34"/>
    <mergeCell ref="U34:V34"/>
    <mergeCell ref="Y44:Z44"/>
    <mergeCell ref="Y19:Z19"/>
    <mergeCell ref="S34:T34"/>
    <mergeCell ref="K18:AD18"/>
    <mergeCell ref="K19:L19"/>
    <mergeCell ref="M19:N19"/>
    <mergeCell ref="O19:P19"/>
    <mergeCell ref="Q19:R19"/>
    <mergeCell ref="S19:T19"/>
    <mergeCell ref="U19:V19"/>
    <mergeCell ref="W19:X19"/>
    <mergeCell ref="W34:X34"/>
    <mergeCell ref="Y34:Z34"/>
    <mergeCell ref="K33:AD33"/>
    <mergeCell ref="K34:L34"/>
    <mergeCell ref="AA44:AB44"/>
    <mergeCell ref="F70:I70"/>
    <mergeCell ref="W44:X44"/>
    <mergeCell ref="AC44:AD44"/>
    <mergeCell ref="F59:I59"/>
    <mergeCell ref="AA34:AB34"/>
    <mergeCell ref="AC34:AD34"/>
    <mergeCell ref="B43:F44"/>
    <mergeCell ref="G43:J44"/>
    <mergeCell ref="K43:AD43"/>
    <mergeCell ref="K44:L44"/>
    <mergeCell ref="M44:N44"/>
    <mergeCell ref="O44:P44"/>
    <mergeCell ref="Q44:R44"/>
    <mergeCell ref="O34:P34"/>
    <mergeCell ref="Q34:R34"/>
    <mergeCell ref="U44:V44"/>
    <mergeCell ref="S44:T44"/>
    <mergeCell ref="B60:D60"/>
    <mergeCell ref="F60:I60"/>
    <mergeCell ref="F69:I69"/>
    <mergeCell ref="B59:E59"/>
    <mergeCell ref="F66:I66"/>
    <mergeCell ref="F67:I67"/>
    <mergeCell ref="B61:D61"/>
    <mergeCell ref="F61:I61"/>
    <mergeCell ref="F63:I63"/>
    <mergeCell ref="F64:I64"/>
    <mergeCell ref="F65:I65"/>
  </mergeCells>
  <phoneticPr fontId="3" type="noConversion"/>
  <conditionalFormatting sqref="B22:D22 B23:F27 B9:F10 E46:G46 B11:C12 B29:F29 B28:D28 AA8:AD8 AA21:AD30 AA36:AD39 G8:V8 G21:V30 B37:G39 I36:V39 B47:G49 I46:V49 B50:V54 E11:F12 G9:J13 L9 K9:K10 N9 M9:M10 P9 O9:O10 R9 Q9:Q10 T9 S9:S10 V9 U9:U10 AB9 AA9:AA10 AD9 AC9:AC10 AA46:AD54 B13:F13">
    <cfRule type="cellIs" dxfId="12" priority="10" stopIfTrue="1" operator="greaterThan">
      <formula>0</formula>
    </cfRule>
  </conditionalFormatting>
  <conditionalFormatting sqref="K55:V57 AA55:AD57">
    <cfRule type="cellIs" dxfId="11" priority="9" stopIfTrue="1" operator="lessThan">
      <formula>0</formula>
    </cfRule>
  </conditionalFormatting>
  <conditionalFormatting sqref="D12">
    <cfRule type="cellIs" dxfId="10" priority="8" stopIfTrue="1" operator="greaterThan">
      <formula>0</formula>
    </cfRule>
  </conditionalFormatting>
  <conditionalFormatting sqref="W8:Z8 W21:Z30 W36:Z39 X9 W9:W10 Z9 Y9:Y10 W46:Z54">
    <cfRule type="cellIs" dxfId="9" priority="7" stopIfTrue="1" operator="greaterThan">
      <formula>0</formula>
    </cfRule>
  </conditionalFormatting>
  <conditionalFormatting sqref="W55:Z57">
    <cfRule type="cellIs" dxfId="8" priority="6" stopIfTrue="1" operator="lessThan">
      <formula>0</formula>
    </cfRule>
  </conditionalFormatting>
  <conditionalFormatting sqref="D11">
    <cfRule type="cellIs" dxfId="7" priority="5" stopIfTrue="1" operator="greaterThan">
      <formula>0</formula>
    </cfRule>
  </conditionalFormatting>
  <conditionalFormatting sqref="AA11:AD11 K11:V11 L10 N10 P10 R10 T10 V10 AB10 AD10">
    <cfRule type="cellIs" dxfId="6" priority="4" stopIfTrue="1" operator="greaterThan">
      <formula>0</formula>
    </cfRule>
  </conditionalFormatting>
  <conditionalFormatting sqref="W11:Z11 X10 Z10">
    <cfRule type="cellIs" dxfId="5" priority="3" stopIfTrue="1" operator="greaterThan">
      <formula>0</formula>
    </cfRule>
  </conditionalFormatting>
  <conditionalFormatting sqref="AA12:AD13 K12:V13">
    <cfRule type="cellIs" dxfId="4" priority="2" stopIfTrue="1" operator="greaterThan">
      <formula>0</formula>
    </cfRule>
  </conditionalFormatting>
  <conditionalFormatting sqref="W12:Z13">
    <cfRule type="cellIs" dxfId="3" priority="1" stopIfTrue="1" operator="greaterThan">
      <formula>0</formula>
    </cfRule>
  </conditionalFormatting>
  <printOptions horizontalCentered="1" verticalCentered="1"/>
  <pageMargins left="0" right="0" top="0" bottom="0" header="0" footer="0"/>
  <pageSetup paperSize="9" scale="52" fitToHeight="3"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29"/>
  <sheetViews>
    <sheetView zoomScale="130" zoomScaleNormal="130" workbookViewId="0">
      <selection activeCell="D10" sqref="D10"/>
    </sheetView>
  </sheetViews>
  <sheetFormatPr defaultColWidth="8.88671875" defaultRowHeight="12"/>
  <cols>
    <col min="1" max="1" width="1.77734375" style="16" customWidth="1"/>
    <col min="2" max="2" width="12.21875" style="16" customWidth="1"/>
    <col min="3" max="3" width="9.88671875" style="16" customWidth="1"/>
    <col min="4" max="4" width="11.44140625" style="16" customWidth="1"/>
    <col min="5" max="5" width="3.6640625" style="16" customWidth="1"/>
    <col min="6" max="6" width="9.6640625" style="16" bestFit="1" customWidth="1"/>
    <col min="7" max="7" width="10.5546875" style="16" bestFit="1" customWidth="1"/>
    <col min="8" max="8" width="8.88671875" style="16"/>
    <col min="9" max="9" width="9.6640625" style="16" bestFit="1" customWidth="1"/>
    <col min="10" max="16384" width="8.88671875" style="16"/>
  </cols>
  <sheetData>
    <row r="1" spans="2:12">
      <c r="B1" s="19" t="s">
        <v>76</v>
      </c>
      <c r="C1" s="19"/>
    </row>
    <row r="2" spans="2:12" ht="5.0999999999999996" customHeight="1" thickBot="1"/>
    <row r="3" spans="2:12" ht="14.25" thickBot="1">
      <c r="B3" s="5" t="s">
        <v>219</v>
      </c>
      <c r="C3" s="6" t="s">
        <v>217</v>
      </c>
      <c r="D3" s="7" t="s">
        <v>77</v>
      </c>
      <c r="F3" s="403" t="s">
        <v>115</v>
      </c>
      <c r="G3" s="403"/>
      <c r="H3" s="403"/>
      <c r="I3" s="403"/>
      <c r="J3" s="403"/>
      <c r="K3" s="403"/>
      <c r="L3" s="403"/>
    </row>
    <row r="4" spans="2:12" ht="13.5">
      <c r="B4" s="215" t="s">
        <v>100</v>
      </c>
      <c r="C4" s="8"/>
      <c r="D4" s="9">
        <f>K9</f>
        <v>8451914</v>
      </c>
      <c r="F4" s="404" t="s">
        <v>116</v>
      </c>
      <c r="G4" s="404"/>
      <c r="H4" s="404"/>
      <c r="I4" s="404"/>
      <c r="J4" s="404"/>
      <c r="K4" s="404"/>
      <c r="L4" s="404"/>
    </row>
    <row r="5" spans="2:12" ht="13.5">
      <c r="B5" s="216" t="s">
        <v>101</v>
      </c>
      <c r="C5" s="11"/>
      <c r="D5" s="9">
        <f t="shared" ref="D5:D7" si="0">K10</f>
        <v>6353006</v>
      </c>
      <c r="F5" s="204"/>
      <c r="G5" s="204"/>
      <c r="H5" s="204"/>
      <c r="I5" s="204"/>
      <c r="J5" s="204"/>
      <c r="K5" s="204"/>
      <c r="L5" s="205" t="s">
        <v>118</v>
      </c>
    </row>
    <row r="6" spans="2:12" ht="18" customHeight="1">
      <c r="B6" s="216" t="s">
        <v>102</v>
      </c>
      <c r="C6" s="11"/>
      <c r="D6" s="9">
        <f>K11</f>
        <v>4986758</v>
      </c>
      <c r="F6" s="405" t="s">
        <v>119</v>
      </c>
      <c r="G6" s="405" t="s">
        <v>120</v>
      </c>
      <c r="H6" s="407" t="s">
        <v>121</v>
      </c>
      <c r="I6" s="408"/>
      <c r="J6" s="409"/>
      <c r="K6" s="193" t="s">
        <v>122</v>
      </c>
      <c r="L6" s="213" t="s">
        <v>123</v>
      </c>
    </row>
    <row r="7" spans="2:12" ht="13.5">
      <c r="B7" s="216" t="s">
        <v>103</v>
      </c>
      <c r="C7" s="11"/>
      <c r="D7" s="9">
        <f t="shared" si="0"/>
        <v>4486165</v>
      </c>
      <c r="F7" s="406"/>
      <c r="G7" s="406"/>
      <c r="H7" s="194" t="s">
        <v>124</v>
      </c>
      <c r="I7" s="195" t="s">
        <v>125</v>
      </c>
      <c r="J7" s="196" t="s">
        <v>126</v>
      </c>
      <c r="K7" s="197" t="s">
        <v>127</v>
      </c>
      <c r="L7" s="197" t="s">
        <v>128</v>
      </c>
    </row>
    <row r="8" spans="2:12" ht="13.5">
      <c r="B8" s="361" t="s">
        <v>285</v>
      </c>
      <c r="C8" s="11"/>
      <c r="D8" s="172">
        <f>'IT직무별 평균임금'!D14</f>
        <v>8461918</v>
      </c>
      <c r="F8" s="198" t="s">
        <v>129</v>
      </c>
      <c r="G8" s="199">
        <v>295</v>
      </c>
      <c r="H8" s="200">
        <v>452611</v>
      </c>
      <c r="I8" s="201">
        <v>462072</v>
      </c>
      <c r="J8" s="202">
        <v>-2.1</v>
      </c>
      <c r="K8" s="200">
        <v>9611098</v>
      </c>
      <c r="L8" s="200">
        <v>57759</v>
      </c>
    </row>
    <row r="9" spans="2:12" ht="13.5">
      <c r="B9" s="361" t="s">
        <v>286</v>
      </c>
      <c r="C9" s="11"/>
      <c r="D9" s="12">
        <f>'IT직무별 평균임금'!D19</f>
        <v>5708872</v>
      </c>
      <c r="F9" s="198" t="s">
        <v>130</v>
      </c>
      <c r="G9" s="200">
        <v>15526</v>
      </c>
      <c r="H9" s="200">
        <v>391068</v>
      </c>
      <c r="I9" s="201">
        <v>406342</v>
      </c>
      <c r="J9" s="202">
        <v>-3.9</v>
      </c>
      <c r="K9" s="200">
        <v>8451914</v>
      </c>
      <c r="L9" s="200">
        <v>50793</v>
      </c>
    </row>
    <row r="10" spans="2:12" ht="13.5">
      <c r="B10" s="361" t="s">
        <v>287</v>
      </c>
      <c r="C10" s="11"/>
      <c r="D10" s="172">
        <f>'IT직무별 평균임금'!D20</f>
        <v>4757314</v>
      </c>
      <c r="F10" s="198" t="s">
        <v>131</v>
      </c>
      <c r="G10" s="200">
        <v>8742</v>
      </c>
      <c r="H10" s="200">
        <v>305353</v>
      </c>
      <c r="I10" s="201">
        <v>305433</v>
      </c>
      <c r="J10" s="202">
        <v>0</v>
      </c>
      <c r="K10" s="200">
        <v>6353006</v>
      </c>
      <c r="L10" s="200">
        <v>38179</v>
      </c>
    </row>
    <row r="11" spans="2:12" ht="13.5">
      <c r="B11" s="10"/>
      <c r="C11" s="11"/>
      <c r="D11" s="12"/>
      <c r="F11" s="198" t="s">
        <v>132</v>
      </c>
      <c r="G11" s="200">
        <v>9104</v>
      </c>
      <c r="H11" s="200">
        <v>239506</v>
      </c>
      <c r="I11" s="201">
        <v>239748</v>
      </c>
      <c r="J11" s="202">
        <v>-0.1</v>
      </c>
      <c r="K11" s="200">
        <v>4986758</v>
      </c>
      <c r="L11" s="200">
        <v>29969</v>
      </c>
    </row>
    <row r="12" spans="2:12" ht="14.25" thickBot="1">
      <c r="B12" s="13"/>
      <c r="C12" s="14"/>
      <c r="D12" s="15"/>
      <c r="F12" s="198" t="s">
        <v>133</v>
      </c>
      <c r="G12" s="200">
        <v>11363</v>
      </c>
      <c r="H12" s="200">
        <v>191320</v>
      </c>
      <c r="I12" s="201">
        <v>215681</v>
      </c>
      <c r="J12" s="202">
        <v>-12.7</v>
      </c>
      <c r="K12" s="200">
        <v>4486165</v>
      </c>
      <c r="L12" s="200">
        <v>26960</v>
      </c>
    </row>
    <row r="13" spans="2:12" ht="14.25" thickBot="1">
      <c r="F13" s="198" t="s">
        <v>134</v>
      </c>
      <c r="G13" s="199">
        <v>99</v>
      </c>
      <c r="H13" s="200">
        <v>191177</v>
      </c>
      <c r="I13" s="201">
        <v>194340</v>
      </c>
      <c r="J13" s="202">
        <v>-1.7</v>
      </c>
      <c r="K13" s="200">
        <v>4042272</v>
      </c>
      <c r="L13" s="200">
        <v>24293</v>
      </c>
    </row>
    <row r="14" spans="2:12" ht="14.25" thickBot="1">
      <c r="B14" s="155" t="s">
        <v>78</v>
      </c>
      <c r="C14" s="87"/>
      <c r="D14" s="156">
        <f>SUM(D4:D13)/COUNTIF(D4:D13,"&gt;0")</f>
        <v>6172278.1428571427</v>
      </c>
      <c r="E14" s="18"/>
      <c r="F14" s="198" t="s">
        <v>135</v>
      </c>
      <c r="G14" s="199">
        <v>200</v>
      </c>
      <c r="H14" s="200">
        <v>158490</v>
      </c>
      <c r="I14" s="201">
        <v>158597</v>
      </c>
      <c r="J14" s="202">
        <v>-0.1</v>
      </c>
      <c r="K14" s="200">
        <v>3298818</v>
      </c>
      <c r="L14" s="200">
        <v>19825</v>
      </c>
    </row>
    <row r="15" spans="2:12" ht="13.5">
      <c r="E15" s="18"/>
      <c r="F15" s="198" t="s">
        <v>136</v>
      </c>
      <c r="G15" s="199">
        <v>233</v>
      </c>
      <c r="H15" s="200">
        <v>114914</v>
      </c>
      <c r="I15" s="201">
        <v>120948</v>
      </c>
      <c r="J15" s="202">
        <v>-5.3</v>
      </c>
      <c r="K15" s="200">
        <v>2515718</v>
      </c>
      <c r="L15" s="200">
        <v>15119</v>
      </c>
    </row>
    <row r="16" spans="2:12" ht="14.25" thickBot="1">
      <c r="F16" s="198" t="s">
        <v>137</v>
      </c>
      <c r="G16" s="199">
        <v>204</v>
      </c>
      <c r="H16" s="200">
        <v>113959</v>
      </c>
      <c r="I16" s="201">
        <v>117145</v>
      </c>
      <c r="J16" s="202">
        <v>-2.8</v>
      </c>
      <c r="K16" s="200">
        <v>2436616</v>
      </c>
      <c r="L16" s="200">
        <v>14643</v>
      </c>
    </row>
    <row r="17" spans="2:12" ht="14.25" thickBot="1">
      <c r="B17" s="5" t="s">
        <v>220</v>
      </c>
      <c r="C17" s="6" t="s">
        <v>218</v>
      </c>
      <c r="D17" s="7" t="s">
        <v>32</v>
      </c>
      <c r="E17" s="170"/>
      <c r="F17" s="198" t="s">
        <v>138</v>
      </c>
      <c r="G17" s="200">
        <v>45766</v>
      </c>
      <c r="H17" s="200">
        <v>289473</v>
      </c>
      <c r="I17" s="201">
        <v>302665</v>
      </c>
      <c r="J17" s="202">
        <v>-4.5999999999999996</v>
      </c>
      <c r="K17" s="200">
        <v>6295432</v>
      </c>
      <c r="L17" s="200">
        <v>37833</v>
      </c>
    </row>
    <row r="18" spans="2:12">
      <c r="B18" s="217" t="s">
        <v>94</v>
      </c>
      <c r="C18" s="206"/>
      <c r="D18" s="9">
        <v>7000000</v>
      </c>
      <c r="E18" s="170"/>
      <c r="G18" s="157"/>
    </row>
    <row r="19" spans="2:12">
      <c r="B19" s="218" t="s">
        <v>114</v>
      </c>
      <c r="C19" s="208"/>
      <c r="D19" s="9">
        <v>6000000</v>
      </c>
      <c r="E19" s="170"/>
      <c r="F19" s="16">
        <v>21</v>
      </c>
    </row>
    <row r="20" spans="2:12">
      <c r="B20" s="218" t="s">
        <v>96</v>
      </c>
      <c r="C20" s="208"/>
      <c r="D20" s="9">
        <v>5000000</v>
      </c>
      <c r="E20" s="170"/>
      <c r="F20" s="349">
        <f>D18/F19</f>
        <v>333333.33333333331</v>
      </c>
      <c r="G20" s="17"/>
    </row>
    <row r="21" spans="2:12">
      <c r="B21" s="218" t="s">
        <v>95</v>
      </c>
      <c r="C21" s="208"/>
      <c r="D21" s="9">
        <v>4000000</v>
      </c>
      <c r="E21" s="170"/>
      <c r="F21" s="159"/>
      <c r="G21" s="160"/>
      <c r="H21" s="159"/>
    </row>
    <row r="22" spans="2:12">
      <c r="B22" s="218" t="s">
        <v>113</v>
      </c>
      <c r="C22" s="208"/>
      <c r="D22" s="9"/>
      <c r="E22" s="170"/>
      <c r="F22" s="159"/>
      <c r="G22" s="160"/>
    </row>
    <row r="23" spans="2:12">
      <c r="B23" s="218" t="s">
        <v>107</v>
      </c>
      <c r="C23" s="208"/>
      <c r="D23" s="9"/>
      <c r="E23" s="166"/>
      <c r="F23" s="159"/>
      <c r="G23" s="160"/>
    </row>
    <row r="24" spans="2:12">
      <c r="B24" s="207"/>
      <c r="C24" s="208"/>
      <c r="D24" s="12"/>
      <c r="E24" s="158"/>
      <c r="F24" s="159"/>
      <c r="G24" s="160"/>
    </row>
    <row r="25" spans="2:12">
      <c r="B25" s="209"/>
      <c r="C25" s="210"/>
      <c r="D25" s="12"/>
      <c r="E25" s="158"/>
      <c r="F25" s="159"/>
      <c r="G25" s="160"/>
    </row>
    <row r="26" spans="2:12" ht="12.75" thickBot="1">
      <c r="B26" s="211"/>
      <c r="C26" s="212"/>
      <c r="D26" s="15"/>
      <c r="E26" s="158"/>
      <c r="F26" s="159"/>
      <c r="G26" s="159"/>
    </row>
    <row r="27" spans="2:12">
      <c r="E27" s="158"/>
      <c r="F27" s="159"/>
      <c r="G27" s="159"/>
    </row>
    <row r="28" spans="2:12">
      <c r="E28" s="158"/>
      <c r="F28" s="159"/>
      <c r="G28" s="159"/>
    </row>
    <row r="29" spans="2:12">
      <c r="D29" s="17"/>
      <c r="E29" s="158"/>
      <c r="F29" s="159"/>
      <c r="G29" s="159"/>
    </row>
  </sheetData>
  <mergeCells count="5">
    <mergeCell ref="F3:L3"/>
    <mergeCell ref="F4:L4"/>
    <mergeCell ref="F6:F7"/>
    <mergeCell ref="G6:G7"/>
    <mergeCell ref="H6:J6"/>
  </mergeCells>
  <phoneticPr fontId="3" type="noConversion"/>
  <conditionalFormatting sqref="B8:D12 B5:C7">
    <cfRule type="cellIs" dxfId="2" priority="2" stopIfTrue="1" operator="greaterThan">
      <formula>0</formula>
    </cfRule>
  </conditionalFormatting>
  <conditionalFormatting sqref="B19:D26">
    <cfRule type="cellIs" dxfId="1" priority="1" stopIfTrue="1" operator="greaterThan">
      <formula>0</formula>
    </cfRule>
  </conditionalFormatting>
  <pageMargins left="0.75" right="0.75" top="1" bottom="1" header="0.5" footer="0.5"/>
  <pageSetup paperSize="9" scale="87" fitToHeight="3"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34"/>
  <sheetViews>
    <sheetView zoomScale="130" zoomScaleNormal="130" workbookViewId="0">
      <selection activeCell="E25" sqref="E25"/>
    </sheetView>
  </sheetViews>
  <sheetFormatPr defaultColWidth="8.88671875" defaultRowHeight="12"/>
  <cols>
    <col min="1" max="1" width="1.77734375" style="16" customWidth="1"/>
    <col min="2" max="2" width="10.6640625" style="16" customWidth="1"/>
    <col min="3" max="3" width="12.77734375" style="16" customWidth="1"/>
    <col min="4" max="4" width="11.44140625" style="16" customWidth="1"/>
    <col min="5" max="5" width="8.88671875" style="16"/>
    <col min="6" max="7" width="9.44140625" style="16" bestFit="1" customWidth="1"/>
    <col min="8" max="16384" width="8.88671875" style="16"/>
  </cols>
  <sheetData>
    <row r="1" spans="2:8">
      <c r="B1" s="19" t="s">
        <v>79</v>
      </c>
      <c r="C1" s="19"/>
    </row>
    <row r="2" spans="2:8" ht="5.0999999999999996" customHeight="1" thickBot="1"/>
    <row r="3" spans="2:8" ht="12.75" thickBot="1">
      <c r="B3" s="5" t="s">
        <v>80</v>
      </c>
      <c r="C3" s="6" t="s">
        <v>81</v>
      </c>
      <c r="D3" s="7" t="s">
        <v>82</v>
      </c>
    </row>
    <row r="4" spans="2:8">
      <c r="B4" s="161" t="s">
        <v>83</v>
      </c>
      <c r="C4" s="8"/>
      <c r="D4" s="162">
        <v>0.1</v>
      </c>
    </row>
    <row r="5" spans="2:8">
      <c r="B5" s="163" t="s">
        <v>85</v>
      </c>
      <c r="C5" s="11"/>
      <c r="D5" s="164">
        <v>0</v>
      </c>
    </row>
    <row r="6" spans="2:8">
      <c r="B6" s="163"/>
      <c r="C6" s="11"/>
      <c r="D6" s="12"/>
    </row>
    <row r="7" spans="2:8">
      <c r="B7" s="163"/>
      <c r="C7" s="11"/>
      <c r="D7" s="12"/>
    </row>
    <row r="8" spans="2:8">
      <c r="B8" s="163"/>
      <c r="C8" s="11"/>
      <c r="D8" s="12"/>
    </row>
    <row r="9" spans="2:8">
      <c r="B9" s="163"/>
      <c r="C9" s="11"/>
      <c r="D9" s="12"/>
    </row>
    <row r="10" spans="2:8">
      <c r="B10" s="163"/>
      <c r="C10" s="11"/>
      <c r="D10" s="12"/>
    </row>
    <row r="11" spans="2:8" ht="12.75" thickBot="1">
      <c r="B11" s="165"/>
      <c r="C11" s="14"/>
      <c r="D11" s="15"/>
    </row>
    <row r="13" spans="2:8">
      <c r="B13" s="16" t="s">
        <v>84</v>
      </c>
    </row>
    <row r="16" spans="2:8">
      <c r="D16" s="159"/>
      <c r="E16" s="159"/>
      <c r="F16" s="159"/>
      <c r="G16" s="159"/>
      <c r="H16" s="159"/>
    </row>
    <row r="17" spans="4:9">
      <c r="D17" s="159"/>
      <c r="E17" s="159"/>
      <c r="F17" s="159"/>
      <c r="G17" s="159"/>
      <c r="H17" s="159"/>
      <c r="I17" s="154"/>
    </row>
    <row r="18" spans="4:9">
      <c r="D18" s="159"/>
      <c r="E18" s="159"/>
      <c r="F18" s="159"/>
      <c r="G18" s="159"/>
      <c r="H18" s="159"/>
      <c r="I18" s="154"/>
    </row>
    <row r="19" spans="4:9">
      <c r="D19" s="159"/>
      <c r="E19" s="159"/>
      <c r="F19" s="159"/>
      <c r="G19" s="159"/>
      <c r="H19" s="159"/>
      <c r="I19" s="154"/>
    </row>
    <row r="20" spans="4:9">
      <c r="D20" s="159"/>
      <c r="E20" s="159"/>
      <c r="F20" s="159"/>
      <c r="G20" s="159"/>
      <c r="H20" s="159"/>
      <c r="I20" s="154"/>
    </row>
    <row r="21" spans="4:9">
      <c r="D21" s="159"/>
      <c r="E21" s="159"/>
      <c r="F21" s="159"/>
      <c r="G21" s="159"/>
      <c r="H21" s="159"/>
      <c r="I21" s="154"/>
    </row>
    <row r="22" spans="4:9">
      <c r="D22" s="159"/>
      <c r="E22" s="159"/>
      <c r="F22" s="159"/>
      <c r="G22" s="159"/>
      <c r="H22" s="159"/>
      <c r="I22" s="154"/>
    </row>
    <row r="23" spans="4:9">
      <c r="D23" s="159"/>
      <c r="E23" s="159"/>
      <c r="F23" s="159"/>
      <c r="G23" s="159"/>
      <c r="H23" s="159"/>
      <c r="I23" s="154"/>
    </row>
    <row r="24" spans="4:9">
      <c r="D24" s="159"/>
      <c r="E24" s="159"/>
      <c r="F24" s="159"/>
      <c r="G24" s="159"/>
      <c r="H24" s="159"/>
      <c r="I24" s="154"/>
    </row>
    <row r="25" spans="4:9">
      <c r="D25" s="159"/>
      <c r="E25" s="159"/>
      <c r="F25" s="159"/>
      <c r="G25" s="159"/>
      <c r="H25" s="159"/>
      <c r="I25" s="154"/>
    </row>
    <row r="26" spans="4:9">
      <c r="D26" s="159"/>
      <c r="E26" s="159"/>
      <c r="F26" s="159"/>
      <c r="G26" s="159"/>
      <c r="H26" s="159"/>
      <c r="I26" s="154"/>
    </row>
    <row r="27" spans="4:9">
      <c r="D27" s="159"/>
      <c r="E27" s="159"/>
      <c r="F27" s="159"/>
      <c r="G27" s="159"/>
      <c r="H27" s="159"/>
      <c r="I27" s="154"/>
    </row>
    <row r="28" spans="4:9">
      <c r="D28" s="159"/>
      <c r="E28" s="159"/>
      <c r="F28" s="159"/>
      <c r="G28" s="159"/>
      <c r="H28" s="159"/>
      <c r="I28" s="154"/>
    </row>
    <row r="29" spans="4:9">
      <c r="D29" s="159"/>
      <c r="E29" s="159"/>
      <c r="F29" s="159"/>
      <c r="G29" s="159"/>
      <c r="H29" s="159"/>
      <c r="I29" s="154"/>
    </row>
    <row r="30" spans="4:9">
      <c r="D30" s="159"/>
      <c r="E30" s="159"/>
      <c r="F30" s="159"/>
      <c r="G30" s="159"/>
      <c r="H30" s="159"/>
      <c r="I30" s="154"/>
    </row>
    <row r="31" spans="4:9">
      <c r="D31" s="159"/>
      <c r="E31" s="159"/>
      <c r="F31" s="159"/>
      <c r="G31" s="159"/>
      <c r="H31" s="159"/>
      <c r="I31" s="154"/>
    </row>
    <row r="32" spans="4:9">
      <c r="D32" s="159"/>
      <c r="E32" s="159"/>
      <c r="F32" s="159"/>
      <c r="G32" s="159"/>
      <c r="H32" s="159"/>
    </row>
    <row r="33" spans="4:8">
      <c r="D33" s="159"/>
      <c r="E33" s="159"/>
      <c r="F33" s="159"/>
      <c r="G33" s="159"/>
      <c r="H33" s="159"/>
    </row>
    <row r="34" spans="4:8">
      <c r="D34" s="159"/>
      <c r="E34" s="159"/>
      <c r="F34" s="159"/>
      <c r="G34" s="159"/>
      <c r="H34" s="159"/>
    </row>
  </sheetData>
  <phoneticPr fontId="3" type="noConversion"/>
  <conditionalFormatting sqref="B5:D11">
    <cfRule type="cellIs" dxfId="0" priority="1" stopIfTrue="1" operator="greaterThan">
      <formula>0</formula>
    </cfRule>
  </conditionalFormatting>
  <pageMargins left="0.75" right="0.75" top="1" bottom="1" header="0.5" footer="0.5"/>
  <pageSetup paperSize="9" scale="87" fitToHeight="3"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3EFA9-C9E2-4EDD-A645-0C5EDFC7365B}">
  <dimension ref="A1:D34"/>
  <sheetViews>
    <sheetView topLeftCell="A11" workbookViewId="0">
      <selection activeCell="D16" sqref="D16"/>
    </sheetView>
  </sheetViews>
  <sheetFormatPr defaultRowHeight="16.5"/>
  <cols>
    <col min="1" max="1" width="7.77734375" style="352" customWidth="1"/>
    <col min="2" max="2" width="14.109375" style="357" customWidth="1"/>
    <col min="3" max="3" width="12" style="357" customWidth="1"/>
    <col min="4" max="4" width="57.109375" style="352" customWidth="1"/>
    <col min="5" max="16384" width="8.88671875" style="352"/>
  </cols>
  <sheetData>
    <row r="1" spans="1:4" ht="23.25" customHeight="1">
      <c r="A1" s="410" t="s">
        <v>263</v>
      </c>
      <c r="B1" s="410"/>
      <c r="C1" s="410"/>
      <c r="D1" s="410"/>
    </row>
    <row r="2" spans="1:4" ht="12" customHeight="1">
      <c r="A2" s="353"/>
      <c r="B2" s="353"/>
      <c r="C2" s="353"/>
      <c r="D2" s="353"/>
    </row>
    <row r="3" spans="1:4">
      <c r="A3" s="354" t="s">
        <v>143</v>
      </c>
      <c r="B3" s="354" t="s">
        <v>144</v>
      </c>
      <c r="C3" s="354" t="s">
        <v>145</v>
      </c>
      <c r="D3" s="354" t="s">
        <v>146</v>
      </c>
    </row>
    <row r="4" spans="1:4" ht="42.75" customHeight="1">
      <c r="A4" s="355">
        <v>1</v>
      </c>
      <c r="B4" s="355" t="s">
        <v>147</v>
      </c>
      <c r="C4" s="355" t="s">
        <v>148</v>
      </c>
      <c r="D4" s="356" t="s">
        <v>149</v>
      </c>
    </row>
    <row r="5" spans="1:4" ht="45.75" customHeight="1">
      <c r="A5" s="355">
        <v>2</v>
      </c>
      <c r="B5" s="355" t="s">
        <v>264</v>
      </c>
      <c r="C5" s="355" t="s">
        <v>150</v>
      </c>
      <c r="D5" s="356" t="s">
        <v>151</v>
      </c>
    </row>
    <row r="6" spans="1:4" ht="50.1" customHeight="1">
      <c r="A6" s="355">
        <v>3</v>
      </c>
      <c r="B6" s="355" t="s">
        <v>265</v>
      </c>
      <c r="C6" s="355" t="s">
        <v>266</v>
      </c>
      <c r="D6" s="356" t="s">
        <v>152</v>
      </c>
    </row>
    <row r="7" spans="1:4" ht="90" customHeight="1">
      <c r="A7" s="355">
        <v>4</v>
      </c>
      <c r="B7" s="355" t="s">
        <v>153</v>
      </c>
      <c r="C7" s="355" t="s">
        <v>154</v>
      </c>
      <c r="D7" s="356" t="s">
        <v>267</v>
      </c>
    </row>
    <row r="8" spans="1:4" ht="50.1" customHeight="1">
      <c r="A8" s="355">
        <v>5</v>
      </c>
      <c r="B8" s="355" t="s">
        <v>155</v>
      </c>
      <c r="C8" s="355" t="s">
        <v>156</v>
      </c>
      <c r="D8" s="356" t="s">
        <v>157</v>
      </c>
    </row>
    <row r="9" spans="1:4" ht="50.1" customHeight="1">
      <c r="A9" s="355">
        <v>6</v>
      </c>
      <c r="B9" s="355" t="s">
        <v>268</v>
      </c>
      <c r="C9" s="358" t="s">
        <v>158</v>
      </c>
      <c r="D9" s="356" t="s">
        <v>159</v>
      </c>
    </row>
    <row r="10" spans="1:4" ht="50.1" customHeight="1">
      <c r="A10" s="355">
        <v>7</v>
      </c>
      <c r="B10" s="355" t="s">
        <v>160</v>
      </c>
      <c r="C10" s="358" t="s">
        <v>161</v>
      </c>
      <c r="D10" s="356" t="s">
        <v>162</v>
      </c>
    </row>
    <row r="11" spans="1:4" ht="50.1" customHeight="1">
      <c r="A11" s="355">
        <v>8</v>
      </c>
      <c r="B11" s="355" t="s">
        <v>163</v>
      </c>
      <c r="C11" s="355" t="s">
        <v>164</v>
      </c>
      <c r="D11" s="356" t="s">
        <v>165</v>
      </c>
    </row>
    <row r="12" spans="1:4" ht="50.1" customHeight="1">
      <c r="A12" s="355">
        <v>9</v>
      </c>
      <c r="B12" s="355" t="s">
        <v>166</v>
      </c>
      <c r="C12" s="355" t="s">
        <v>167</v>
      </c>
      <c r="D12" s="356" t="s">
        <v>168</v>
      </c>
    </row>
    <row r="13" spans="1:4" ht="50.1" customHeight="1">
      <c r="A13" s="355">
        <v>10</v>
      </c>
      <c r="B13" s="355" t="s">
        <v>169</v>
      </c>
      <c r="C13" s="355" t="s">
        <v>269</v>
      </c>
      <c r="D13" s="356" t="s">
        <v>170</v>
      </c>
    </row>
    <row r="14" spans="1:4" ht="50.1" customHeight="1">
      <c r="A14" s="355">
        <v>11</v>
      </c>
      <c r="B14" s="355" t="s">
        <v>171</v>
      </c>
      <c r="C14" s="358" t="s">
        <v>172</v>
      </c>
      <c r="D14" s="356" t="s">
        <v>173</v>
      </c>
    </row>
    <row r="15" spans="1:4" ht="50.1" customHeight="1">
      <c r="A15" s="355">
        <v>12</v>
      </c>
      <c r="B15" s="355" t="s">
        <v>270</v>
      </c>
      <c r="C15" s="358" t="s">
        <v>271</v>
      </c>
      <c r="D15" s="356" t="s">
        <v>272</v>
      </c>
    </row>
    <row r="16" spans="1:4" ht="130.5" customHeight="1">
      <c r="A16" s="355">
        <v>13</v>
      </c>
      <c r="B16" s="355" t="s">
        <v>174</v>
      </c>
      <c r="C16" s="355" t="s">
        <v>175</v>
      </c>
      <c r="D16" s="356" t="s">
        <v>273</v>
      </c>
    </row>
    <row r="17" spans="1:4" ht="50.1" customHeight="1">
      <c r="A17" s="355">
        <v>14</v>
      </c>
      <c r="B17" s="355" t="s">
        <v>176</v>
      </c>
      <c r="C17" s="355" t="s">
        <v>177</v>
      </c>
      <c r="D17" s="356" t="s">
        <v>178</v>
      </c>
    </row>
    <row r="18" spans="1:4" ht="50.1" customHeight="1">
      <c r="A18" s="355">
        <v>15</v>
      </c>
      <c r="B18" s="355" t="s">
        <v>274</v>
      </c>
      <c r="C18" s="355" t="s">
        <v>179</v>
      </c>
      <c r="D18" s="356" t="s">
        <v>180</v>
      </c>
    </row>
    <row r="19" spans="1:4" ht="50.1" customHeight="1">
      <c r="A19" s="355">
        <v>16</v>
      </c>
      <c r="B19" s="355" t="s">
        <v>275</v>
      </c>
      <c r="C19" s="355" t="s">
        <v>181</v>
      </c>
      <c r="D19" s="356" t="s">
        <v>182</v>
      </c>
    </row>
    <row r="20" spans="1:4" ht="50.1" customHeight="1">
      <c r="A20" s="355">
        <v>17</v>
      </c>
      <c r="B20" s="355" t="s">
        <v>183</v>
      </c>
      <c r="C20" s="355" t="s">
        <v>184</v>
      </c>
      <c r="D20" s="356" t="s">
        <v>185</v>
      </c>
    </row>
    <row r="21" spans="1:4" ht="50.1" customHeight="1">
      <c r="A21" s="355">
        <v>18</v>
      </c>
      <c r="B21" s="355" t="s">
        <v>186</v>
      </c>
      <c r="C21" s="355" t="s">
        <v>187</v>
      </c>
      <c r="D21" s="356" t="s">
        <v>188</v>
      </c>
    </row>
    <row r="22" spans="1:4" ht="50.1" customHeight="1">
      <c r="A22" s="355">
        <v>19</v>
      </c>
      <c r="B22" s="355" t="s">
        <v>276</v>
      </c>
      <c r="C22" s="355" t="s">
        <v>189</v>
      </c>
      <c r="D22" s="356" t="s">
        <v>190</v>
      </c>
    </row>
    <row r="23" spans="1:4" ht="50.1" customHeight="1">
      <c r="A23" s="355">
        <v>20</v>
      </c>
      <c r="B23" s="355" t="s">
        <v>191</v>
      </c>
      <c r="C23" s="355" t="s">
        <v>277</v>
      </c>
      <c r="D23" s="356" t="s">
        <v>192</v>
      </c>
    </row>
    <row r="24" spans="1:4" ht="50.1" customHeight="1">
      <c r="A24" s="355">
        <v>21</v>
      </c>
      <c r="B24" s="355" t="s">
        <v>193</v>
      </c>
      <c r="C24" s="358" t="s">
        <v>194</v>
      </c>
      <c r="D24" s="356" t="s">
        <v>195</v>
      </c>
    </row>
    <row r="25" spans="1:4" ht="50.1" customHeight="1">
      <c r="A25" s="355">
        <v>22</v>
      </c>
      <c r="B25" s="355" t="s">
        <v>196</v>
      </c>
      <c r="C25" s="355" t="s">
        <v>196</v>
      </c>
      <c r="D25" s="356" t="s">
        <v>197</v>
      </c>
    </row>
    <row r="26" spans="1:4" ht="50.1" customHeight="1">
      <c r="A26" s="355">
        <v>23</v>
      </c>
      <c r="B26" s="355" t="s">
        <v>198</v>
      </c>
      <c r="C26" s="355" t="s">
        <v>199</v>
      </c>
      <c r="D26" s="356" t="s">
        <v>200</v>
      </c>
    </row>
    <row r="27" spans="1:4" ht="50.1" customHeight="1">
      <c r="A27" s="355">
        <v>24</v>
      </c>
      <c r="B27" s="355" t="s">
        <v>201</v>
      </c>
      <c r="C27" s="355" t="s">
        <v>202</v>
      </c>
      <c r="D27" s="356" t="s">
        <v>203</v>
      </c>
    </row>
    <row r="28" spans="1:4" ht="61.5" customHeight="1">
      <c r="A28" s="355">
        <v>25</v>
      </c>
      <c r="B28" s="355" t="s">
        <v>204</v>
      </c>
      <c r="C28" s="355" t="s">
        <v>204</v>
      </c>
      <c r="D28" s="356" t="s">
        <v>278</v>
      </c>
    </row>
    <row r="29" spans="1:4" ht="50.1" customHeight="1">
      <c r="A29" s="355">
        <v>26</v>
      </c>
      <c r="B29" s="355" t="s">
        <v>205</v>
      </c>
      <c r="C29" s="355" t="s">
        <v>205</v>
      </c>
      <c r="D29" s="356" t="s">
        <v>206</v>
      </c>
    </row>
    <row r="30" spans="1:4" ht="50.1" customHeight="1">
      <c r="A30" s="355">
        <v>27</v>
      </c>
      <c r="B30" s="355" t="s">
        <v>207</v>
      </c>
      <c r="C30" s="355" t="s">
        <v>279</v>
      </c>
      <c r="D30" s="356" t="s">
        <v>208</v>
      </c>
    </row>
    <row r="31" spans="1:4" ht="50.1" customHeight="1">
      <c r="A31" s="355">
        <v>28</v>
      </c>
      <c r="B31" s="355" t="s">
        <v>209</v>
      </c>
      <c r="C31" s="355" t="s">
        <v>210</v>
      </c>
      <c r="D31" s="356" t="s">
        <v>211</v>
      </c>
    </row>
    <row r="32" spans="1:4" ht="50.1" customHeight="1">
      <c r="A32" s="355">
        <v>29</v>
      </c>
      <c r="B32" s="355" t="s">
        <v>212</v>
      </c>
      <c r="C32" s="355" t="s">
        <v>213</v>
      </c>
      <c r="D32" s="356" t="s">
        <v>214</v>
      </c>
    </row>
    <row r="34" spans="1:1" s="350" customFormat="1">
      <c r="A34" s="350" t="s">
        <v>215</v>
      </c>
    </row>
  </sheetData>
  <mergeCells count="1">
    <mergeCell ref="A1:D1"/>
  </mergeCells>
  <phoneticPr fontId="3" type="noConversion"/>
  <pageMargins left="0.27559055118110237" right="0.23622047244094491" top="0.55118110236220474" bottom="0.31496062992125984" header="0.31496062992125984" footer="0.31496062992125984"/>
  <pageSetup paperSize="9" scale="9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29"/>
  <sheetViews>
    <sheetView zoomScale="85" zoomScaleNormal="85" workbookViewId="0">
      <selection activeCell="I18" sqref="I18"/>
    </sheetView>
  </sheetViews>
  <sheetFormatPr defaultRowHeight="16.5"/>
  <cols>
    <col min="1" max="1" width="12.33203125" style="188" customWidth="1"/>
    <col min="2" max="2" width="10.33203125" style="188" customWidth="1"/>
    <col min="3" max="4" width="12.33203125" style="188" customWidth="1"/>
    <col min="5" max="5" width="7.33203125" style="188" customWidth="1"/>
    <col min="6" max="7" width="12.33203125" style="188" customWidth="1"/>
    <col min="8" max="8" width="8.88671875" style="187"/>
    <col min="9" max="9" width="10.5546875" style="188" bestFit="1" customWidth="1"/>
    <col min="10" max="16384" width="8.88671875" style="188"/>
  </cols>
  <sheetData>
    <row r="2" spans="1:9" ht="42" customHeight="1">
      <c r="A2" s="412" t="s">
        <v>115</v>
      </c>
      <c r="B2" s="412"/>
      <c r="C2" s="412"/>
      <c r="D2" s="412"/>
      <c r="E2" s="412"/>
      <c r="F2" s="412"/>
      <c r="G2" s="412"/>
    </row>
    <row r="3" spans="1:9" s="190" customFormat="1" ht="24" customHeight="1">
      <c r="A3" s="413"/>
      <c r="B3" s="413"/>
      <c r="C3" s="413"/>
      <c r="D3" s="413"/>
      <c r="E3" s="413"/>
      <c r="F3" s="413"/>
      <c r="G3" s="413"/>
      <c r="H3" s="189"/>
    </row>
    <row r="4" spans="1:9" ht="42" customHeight="1">
      <c r="A4" s="414" t="s">
        <v>116</v>
      </c>
      <c r="B4" s="414"/>
      <c r="C4" s="414"/>
      <c r="D4" s="414"/>
      <c r="E4" s="414"/>
      <c r="F4" s="414"/>
      <c r="G4" s="414"/>
    </row>
    <row r="5" spans="1:9" s="190" customFormat="1" ht="12" customHeight="1">
      <c r="A5" s="413"/>
      <c r="B5" s="413"/>
      <c r="C5" s="413"/>
      <c r="D5" s="413"/>
      <c r="E5" s="413"/>
      <c r="F5" s="413"/>
      <c r="G5" s="413"/>
      <c r="H5" s="189"/>
    </row>
    <row r="6" spans="1:9" ht="21.75" customHeight="1">
      <c r="A6" s="415" t="s">
        <v>117</v>
      </c>
      <c r="B6" s="415"/>
      <c r="C6" s="415"/>
      <c r="D6" s="415"/>
      <c r="E6" s="415"/>
      <c r="F6" s="415"/>
      <c r="G6" s="415"/>
    </row>
    <row r="7" spans="1:9" ht="9.75" customHeight="1">
      <c r="A7" s="191"/>
      <c r="B7" s="191"/>
      <c r="C7" s="191"/>
      <c r="D7" s="191"/>
      <c r="E7" s="191"/>
      <c r="F7" s="191"/>
      <c r="G7" s="191"/>
    </row>
    <row r="8" spans="1:9" s="190" customFormat="1" ht="13.5">
      <c r="G8" s="192" t="s">
        <v>118</v>
      </c>
      <c r="H8" s="189"/>
    </row>
    <row r="9" spans="1:9" s="190" customFormat="1" ht="20.100000000000001" customHeight="1">
      <c r="A9" s="405" t="s">
        <v>119</v>
      </c>
      <c r="B9" s="405" t="s">
        <v>120</v>
      </c>
      <c r="C9" s="407" t="s">
        <v>121</v>
      </c>
      <c r="D9" s="408"/>
      <c r="E9" s="409"/>
      <c r="F9" s="193" t="s">
        <v>122</v>
      </c>
      <c r="G9" s="193" t="s">
        <v>123</v>
      </c>
      <c r="H9" s="189"/>
    </row>
    <row r="10" spans="1:9" s="190" customFormat="1" ht="20.100000000000001" customHeight="1">
      <c r="A10" s="406"/>
      <c r="B10" s="406"/>
      <c r="C10" s="194" t="s">
        <v>124</v>
      </c>
      <c r="D10" s="195" t="s">
        <v>125</v>
      </c>
      <c r="E10" s="196" t="s">
        <v>126</v>
      </c>
      <c r="F10" s="197" t="s">
        <v>127</v>
      </c>
      <c r="G10" s="197" t="s">
        <v>128</v>
      </c>
      <c r="H10" s="189"/>
      <c r="I10" s="190">
        <v>20.8</v>
      </c>
    </row>
    <row r="11" spans="1:9" s="190" customFormat="1" ht="20.100000000000001" customHeight="1">
      <c r="A11" s="198" t="s">
        <v>129</v>
      </c>
      <c r="B11" s="199">
        <v>295</v>
      </c>
      <c r="C11" s="200">
        <v>452611</v>
      </c>
      <c r="D11" s="201">
        <v>462072</v>
      </c>
      <c r="E11" s="202">
        <v>-2.1</v>
      </c>
      <c r="F11" s="200">
        <v>9611098</v>
      </c>
      <c r="G11" s="200">
        <v>57759</v>
      </c>
      <c r="H11" s="189">
        <f>G11*8</f>
        <v>462072</v>
      </c>
      <c r="I11" s="203">
        <f>H11*I10</f>
        <v>9611097.5999999996</v>
      </c>
    </row>
    <row r="12" spans="1:9" s="190" customFormat="1" ht="20.100000000000001" customHeight="1">
      <c r="A12" s="198" t="s">
        <v>130</v>
      </c>
      <c r="B12" s="200">
        <v>15526</v>
      </c>
      <c r="C12" s="200">
        <v>391068</v>
      </c>
      <c r="D12" s="201">
        <v>406342</v>
      </c>
      <c r="E12" s="202">
        <v>-3.9</v>
      </c>
      <c r="F12" s="200">
        <v>8451914</v>
      </c>
      <c r="G12" s="200">
        <v>50793</v>
      </c>
      <c r="H12" s="189">
        <f t="shared" ref="H12:H19" si="0">G12*8</f>
        <v>406344</v>
      </c>
    </row>
    <row r="13" spans="1:9" s="190" customFormat="1" ht="20.100000000000001" customHeight="1">
      <c r="A13" s="198" t="s">
        <v>131</v>
      </c>
      <c r="B13" s="200">
        <v>8742</v>
      </c>
      <c r="C13" s="200">
        <v>305353</v>
      </c>
      <c r="D13" s="201">
        <v>305433</v>
      </c>
      <c r="E13" s="202">
        <v>0</v>
      </c>
      <c r="F13" s="200">
        <v>6353006</v>
      </c>
      <c r="G13" s="200">
        <v>38179</v>
      </c>
      <c r="H13" s="189">
        <f t="shared" si="0"/>
        <v>305432</v>
      </c>
    </row>
    <row r="14" spans="1:9" s="190" customFormat="1" ht="20.100000000000001" customHeight="1">
      <c r="A14" s="198" t="s">
        <v>132</v>
      </c>
      <c r="B14" s="200">
        <v>9104</v>
      </c>
      <c r="C14" s="200">
        <v>239506</v>
      </c>
      <c r="D14" s="201">
        <v>239748</v>
      </c>
      <c r="E14" s="202">
        <v>-0.1</v>
      </c>
      <c r="F14" s="200">
        <v>4986758</v>
      </c>
      <c r="G14" s="200">
        <v>29969</v>
      </c>
      <c r="H14" s="189">
        <f t="shared" si="0"/>
        <v>239752</v>
      </c>
    </row>
    <row r="15" spans="1:9" s="190" customFormat="1" ht="20.100000000000001" customHeight="1">
      <c r="A15" s="198" t="s">
        <v>133</v>
      </c>
      <c r="B15" s="200">
        <v>11363</v>
      </c>
      <c r="C15" s="200">
        <v>191320</v>
      </c>
      <c r="D15" s="201">
        <v>215681</v>
      </c>
      <c r="E15" s="202">
        <v>-12.7</v>
      </c>
      <c r="F15" s="200">
        <v>4486165</v>
      </c>
      <c r="G15" s="200">
        <v>26960</v>
      </c>
      <c r="H15" s="189">
        <f t="shared" si="0"/>
        <v>215680</v>
      </c>
    </row>
    <row r="16" spans="1:9" s="190" customFormat="1" ht="20.100000000000001" customHeight="1">
      <c r="A16" s="198" t="s">
        <v>134</v>
      </c>
      <c r="B16" s="199">
        <v>99</v>
      </c>
      <c r="C16" s="200">
        <v>191177</v>
      </c>
      <c r="D16" s="201">
        <v>194340</v>
      </c>
      <c r="E16" s="202">
        <v>-1.7</v>
      </c>
      <c r="F16" s="200">
        <v>4042272</v>
      </c>
      <c r="G16" s="200">
        <v>24293</v>
      </c>
      <c r="H16" s="189">
        <f t="shared" si="0"/>
        <v>194344</v>
      </c>
    </row>
    <row r="17" spans="1:8" s="190" customFormat="1" ht="20.100000000000001" customHeight="1">
      <c r="A17" s="198" t="s">
        <v>135</v>
      </c>
      <c r="B17" s="199">
        <v>200</v>
      </c>
      <c r="C17" s="200">
        <v>158490</v>
      </c>
      <c r="D17" s="201">
        <v>158597</v>
      </c>
      <c r="E17" s="202">
        <v>-0.1</v>
      </c>
      <c r="F17" s="200">
        <v>3298818</v>
      </c>
      <c r="G17" s="200">
        <v>19825</v>
      </c>
      <c r="H17" s="189">
        <f t="shared" si="0"/>
        <v>158600</v>
      </c>
    </row>
    <row r="18" spans="1:8" s="190" customFormat="1" ht="20.100000000000001" customHeight="1">
      <c r="A18" s="198" t="s">
        <v>136</v>
      </c>
      <c r="B18" s="199">
        <v>233</v>
      </c>
      <c r="C18" s="200">
        <v>114914</v>
      </c>
      <c r="D18" s="201">
        <v>120948</v>
      </c>
      <c r="E18" s="202">
        <v>-5.3</v>
      </c>
      <c r="F18" s="200">
        <v>2515718</v>
      </c>
      <c r="G18" s="200">
        <v>15119</v>
      </c>
      <c r="H18" s="189">
        <f t="shared" si="0"/>
        <v>120952</v>
      </c>
    </row>
    <row r="19" spans="1:8" s="190" customFormat="1" ht="20.100000000000001" customHeight="1">
      <c r="A19" s="198" t="s">
        <v>137</v>
      </c>
      <c r="B19" s="199">
        <v>204</v>
      </c>
      <c r="C19" s="200">
        <v>113959</v>
      </c>
      <c r="D19" s="201">
        <v>117145</v>
      </c>
      <c r="E19" s="202">
        <v>-2.8</v>
      </c>
      <c r="F19" s="200">
        <v>2436616</v>
      </c>
      <c r="G19" s="200">
        <v>14643</v>
      </c>
      <c r="H19" s="189">
        <f t="shared" si="0"/>
        <v>117144</v>
      </c>
    </row>
    <row r="20" spans="1:8" s="190" customFormat="1" ht="20.100000000000001" customHeight="1">
      <c r="A20" s="198" t="s">
        <v>138</v>
      </c>
      <c r="B20" s="200">
        <v>45766</v>
      </c>
      <c r="C20" s="200">
        <v>289473</v>
      </c>
      <c r="D20" s="201">
        <v>302665</v>
      </c>
      <c r="E20" s="202">
        <v>-4.5999999999999996</v>
      </c>
      <c r="F20" s="200">
        <v>6295432</v>
      </c>
      <c r="G20" s="200">
        <v>37833</v>
      </c>
      <c r="H20" s="189"/>
    </row>
    <row r="21" spans="1:8" s="190" customFormat="1" ht="13.5">
      <c r="H21" s="189"/>
    </row>
    <row r="22" spans="1:8" s="190" customFormat="1" ht="52.5" customHeight="1">
      <c r="A22" s="413" t="s">
        <v>139</v>
      </c>
      <c r="B22" s="413"/>
      <c r="C22" s="413"/>
      <c r="D22" s="413"/>
      <c r="E22" s="413"/>
      <c r="F22" s="413"/>
      <c r="G22" s="413"/>
      <c r="H22" s="189"/>
    </row>
    <row r="23" spans="1:8" s="190" customFormat="1" ht="7.5" customHeight="1">
      <c r="A23" s="413"/>
      <c r="B23" s="413"/>
      <c r="C23" s="413"/>
      <c r="D23" s="413"/>
      <c r="E23" s="413"/>
      <c r="F23" s="413"/>
      <c r="G23" s="413"/>
      <c r="H23" s="189"/>
    </row>
    <row r="24" spans="1:8" s="190" customFormat="1" ht="109.5" customHeight="1">
      <c r="A24" s="413" t="s">
        <v>140</v>
      </c>
      <c r="B24" s="413"/>
      <c r="C24" s="413"/>
      <c r="D24" s="413"/>
      <c r="E24" s="413"/>
      <c r="F24" s="413"/>
      <c r="G24" s="413"/>
      <c r="H24" s="189"/>
    </row>
    <row r="25" spans="1:8" s="190" customFormat="1" ht="13.5">
      <c r="A25" s="413"/>
      <c r="B25" s="413"/>
      <c r="C25" s="413"/>
      <c r="D25" s="413"/>
      <c r="E25" s="413"/>
      <c r="F25" s="413"/>
      <c r="G25" s="413"/>
      <c r="H25" s="189"/>
    </row>
    <row r="26" spans="1:8" s="190" customFormat="1" ht="24.95" customHeight="1">
      <c r="A26" s="190" t="s">
        <v>141</v>
      </c>
      <c r="H26" s="189"/>
    </row>
    <row r="27" spans="1:8" s="190" customFormat="1" ht="24.95" customHeight="1">
      <c r="H27" s="189"/>
    </row>
    <row r="28" spans="1:8">
      <c r="A28" s="416">
        <v>43341</v>
      </c>
      <c r="B28" s="416"/>
      <c r="C28" s="416"/>
      <c r="D28" s="416"/>
      <c r="E28" s="416"/>
      <c r="F28" s="416"/>
      <c r="G28" s="416"/>
    </row>
    <row r="29" spans="1:8" ht="31.5">
      <c r="A29" s="411" t="s">
        <v>142</v>
      </c>
      <c r="B29" s="411"/>
      <c r="C29" s="411"/>
      <c r="D29" s="411"/>
      <c r="E29" s="411"/>
      <c r="F29" s="411"/>
      <c r="G29" s="411"/>
    </row>
  </sheetData>
  <mergeCells count="14">
    <mergeCell ref="A29:G29"/>
    <mergeCell ref="A2:G2"/>
    <mergeCell ref="A3:G3"/>
    <mergeCell ref="A4:G4"/>
    <mergeCell ref="A5:G5"/>
    <mergeCell ref="A6:G6"/>
    <mergeCell ref="A9:A10"/>
    <mergeCell ref="B9:B10"/>
    <mergeCell ref="C9:E9"/>
    <mergeCell ref="A22:G22"/>
    <mergeCell ref="A23:G23"/>
    <mergeCell ref="A24:G24"/>
    <mergeCell ref="A25:G25"/>
    <mergeCell ref="A28:G28"/>
  </mergeCells>
  <phoneticPr fontId="3" type="noConversion"/>
  <pageMargins left="0.43" right="0.16"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A150-0FD8-49B7-ABED-7EDCAFA963B4}">
  <dimension ref="A1:J131"/>
  <sheetViews>
    <sheetView topLeftCell="A11" workbookViewId="0">
      <selection activeCell="C34" sqref="C34"/>
    </sheetView>
  </sheetViews>
  <sheetFormatPr defaultRowHeight="13.5"/>
  <cols>
    <col min="1" max="1" width="1.5546875" customWidth="1"/>
    <col min="2" max="2" width="27.109375" customWidth="1"/>
    <col min="3" max="5" width="16" customWidth="1"/>
  </cols>
  <sheetData>
    <row r="1" spans="1:10" ht="12.75" customHeight="1"/>
    <row r="2" spans="1:10" ht="24" customHeight="1">
      <c r="A2" s="418" t="s">
        <v>288</v>
      </c>
      <c r="B2" s="418"/>
      <c r="C2" s="418"/>
      <c r="D2" s="418"/>
      <c r="E2" s="418"/>
      <c r="F2" s="419"/>
      <c r="G2" s="419"/>
      <c r="H2" s="419"/>
      <c r="I2" s="419"/>
      <c r="J2" s="419"/>
    </row>
    <row r="3" spans="1:10" ht="10.5" customHeight="1"/>
    <row r="4" spans="1:10" s="422" customFormat="1" ht="38.25" customHeight="1">
      <c r="A4" s="420" t="s">
        <v>289</v>
      </c>
      <c r="B4" s="420"/>
      <c r="C4" s="420"/>
      <c r="D4" s="420"/>
      <c r="E4" s="420"/>
      <c r="F4" s="421"/>
      <c r="G4" s="421"/>
      <c r="H4" s="421"/>
      <c r="I4" s="421"/>
      <c r="J4" s="421"/>
    </row>
    <row r="5" spans="1:10" s="422" customFormat="1" ht="9.75" customHeight="1"/>
    <row r="6" spans="1:10" s="422" customFormat="1" ht="18.75" customHeight="1">
      <c r="A6" s="423" t="s">
        <v>229</v>
      </c>
      <c r="B6" s="423"/>
      <c r="C6" s="423"/>
      <c r="D6" s="423"/>
      <c r="E6" s="423"/>
      <c r="F6" s="421"/>
      <c r="G6" s="421"/>
      <c r="H6" s="421"/>
      <c r="I6" s="421"/>
      <c r="J6" s="421"/>
    </row>
    <row r="7" spans="1:10" s="422" customFormat="1" ht="15.75" customHeight="1">
      <c r="E7" s="424" t="s">
        <v>230</v>
      </c>
    </row>
    <row r="8" spans="1:10" s="422" customFormat="1" ht="14.25" customHeight="1">
      <c r="B8" s="425" t="s">
        <v>119</v>
      </c>
      <c r="C8" s="426" t="s">
        <v>231</v>
      </c>
      <c r="D8" s="426" t="s">
        <v>232</v>
      </c>
      <c r="E8" s="427" t="s">
        <v>233</v>
      </c>
    </row>
    <row r="9" spans="1:10" s="422" customFormat="1" ht="14.25" customHeight="1">
      <c r="B9" s="428" t="s">
        <v>234</v>
      </c>
      <c r="C9" s="429">
        <v>360307</v>
      </c>
      <c r="D9" s="429">
        <v>7494386</v>
      </c>
      <c r="E9" s="430">
        <v>45038</v>
      </c>
    </row>
    <row r="10" spans="1:10" s="422" customFormat="1" ht="14.25" customHeight="1">
      <c r="B10" s="431" t="s">
        <v>235</v>
      </c>
      <c r="C10" s="432">
        <v>484732</v>
      </c>
      <c r="D10" s="432">
        <v>10082426</v>
      </c>
      <c r="E10" s="433">
        <v>60592</v>
      </c>
    </row>
    <row r="11" spans="1:10" s="422" customFormat="1" ht="14.25" customHeight="1">
      <c r="B11" s="431" t="s">
        <v>236</v>
      </c>
      <c r="C11" s="432">
        <v>347123</v>
      </c>
      <c r="D11" s="432">
        <v>7220158</v>
      </c>
      <c r="E11" s="433">
        <v>43390</v>
      </c>
    </row>
    <row r="12" spans="1:10" s="422" customFormat="1" ht="14.25" customHeight="1">
      <c r="B12" s="431" t="s">
        <v>237</v>
      </c>
      <c r="C12" s="432">
        <v>548550</v>
      </c>
      <c r="D12" s="432">
        <v>11409840</v>
      </c>
      <c r="E12" s="433">
        <v>68569</v>
      </c>
    </row>
    <row r="13" spans="1:10" s="422" customFormat="1" ht="14.25" customHeight="1">
      <c r="B13" s="431" t="s">
        <v>238</v>
      </c>
      <c r="C13" s="432">
        <v>323184</v>
      </c>
      <c r="D13" s="432">
        <v>6722227</v>
      </c>
      <c r="E13" s="433">
        <v>40398</v>
      </c>
    </row>
    <row r="14" spans="1:10" s="422" customFormat="1" ht="14.25" customHeight="1">
      <c r="B14" s="431" t="s">
        <v>239</v>
      </c>
      <c r="C14" s="432">
        <v>406823</v>
      </c>
      <c r="D14" s="432">
        <v>8461918</v>
      </c>
      <c r="E14" s="433">
        <v>50853</v>
      </c>
    </row>
    <row r="15" spans="1:10" s="422" customFormat="1" ht="14.25" customHeight="1">
      <c r="B15" s="431" t="s">
        <v>240</v>
      </c>
      <c r="C15" s="432">
        <v>345428</v>
      </c>
      <c r="D15" s="432">
        <v>7184902</v>
      </c>
      <c r="E15" s="433">
        <v>43179</v>
      </c>
    </row>
    <row r="16" spans="1:10" s="422" customFormat="1" ht="14.25" customHeight="1">
      <c r="B16" s="431" t="s">
        <v>241</v>
      </c>
      <c r="C16" s="432">
        <v>448240</v>
      </c>
      <c r="D16" s="432">
        <v>9323392</v>
      </c>
      <c r="E16" s="433">
        <v>56030</v>
      </c>
    </row>
    <row r="17" spans="2:5" s="422" customFormat="1" ht="14.25" customHeight="1">
      <c r="B17" s="431" t="s">
        <v>242</v>
      </c>
      <c r="C17" s="432">
        <v>556512</v>
      </c>
      <c r="D17" s="432">
        <v>11575450</v>
      </c>
      <c r="E17" s="433">
        <v>69564</v>
      </c>
    </row>
    <row r="18" spans="2:5" s="422" customFormat="1" ht="14.25" customHeight="1">
      <c r="B18" s="431" t="s">
        <v>243</v>
      </c>
      <c r="C18" s="432">
        <v>414770</v>
      </c>
      <c r="D18" s="432">
        <v>8627216</v>
      </c>
      <c r="E18" s="433">
        <v>51846</v>
      </c>
    </row>
    <row r="19" spans="2:5" s="422" customFormat="1" ht="14.25" customHeight="1">
      <c r="B19" s="431" t="s">
        <v>244</v>
      </c>
      <c r="C19" s="432">
        <v>274465</v>
      </c>
      <c r="D19" s="432">
        <v>5708872</v>
      </c>
      <c r="E19" s="433">
        <v>34308</v>
      </c>
    </row>
    <row r="20" spans="2:5" s="422" customFormat="1" ht="14.25" customHeight="1">
      <c r="B20" s="431" t="s">
        <v>245</v>
      </c>
      <c r="C20" s="432">
        <v>228717</v>
      </c>
      <c r="D20" s="432">
        <v>4757314</v>
      </c>
      <c r="E20" s="433">
        <v>28590</v>
      </c>
    </row>
    <row r="21" spans="2:5" s="422" customFormat="1" ht="14.25" customHeight="1">
      <c r="B21" s="431" t="s">
        <v>246</v>
      </c>
      <c r="C21" s="432">
        <v>306034</v>
      </c>
      <c r="D21" s="432">
        <v>6365507</v>
      </c>
      <c r="E21" s="433">
        <v>38254</v>
      </c>
    </row>
    <row r="22" spans="2:5" s="422" customFormat="1" ht="14.25" customHeight="1">
      <c r="B22" s="431" t="s">
        <v>247</v>
      </c>
      <c r="C22" s="432">
        <v>238787</v>
      </c>
      <c r="D22" s="432">
        <v>4966770</v>
      </c>
      <c r="E22" s="433">
        <v>29848</v>
      </c>
    </row>
    <row r="23" spans="2:5" s="422" customFormat="1" ht="14.25" customHeight="1">
      <c r="B23" s="431" t="s">
        <v>248</v>
      </c>
      <c r="C23" s="432">
        <v>261291</v>
      </c>
      <c r="D23" s="432">
        <v>5434853</v>
      </c>
      <c r="E23" s="433">
        <v>32661</v>
      </c>
    </row>
    <row r="24" spans="2:5" s="422" customFormat="1" ht="14.25" customHeight="1">
      <c r="B24" s="431" t="s">
        <v>249</v>
      </c>
      <c r="C24" s="432">
        <v>243285</v>
      </c>
      <c r="D24" s="432">
        <v>5060328</v>
      </c>
      <c r="E24" s="433">
        <v>30411</v>
      </c>
    </row>
    <row r="25" spans="2:5" s="422" customFormat="1" ht="14.25" customHeight="1">
      <c r="B25" s="431" t="s">
        <v>250</v>
      </c>
      <c r="C25" s="432">
        <v>335974</v>
      </c>
      <c r="D25" s="432">
        <v>6988259</v>
      </c>
      <c r="E25" s="433">
        <v>41997</v>
      </c>
    </row>
    <row r="26" spans="2:5" s="422" customFormat="1" ht="14.25" customHeight="1">
      <c r="B26" s="431" t="s">
        <v>251</v>
      </c>
      <c r="C26" s="432">
        <v>297180</v>
      </c>
      <c r="D26" s="432">
        <v>6181344</v>
      </c>
      <c r="E26" s="433">
        <v>37148</v>
      </c>
    </row>
    <row r="27" spans="2:5" s="422" customFormat="1" ht="14.25" customHeight="1">
      <c r="B27" s="431" t="s">
        <v>252</v>
      </c>
      <c r="C27" s="432">
        <v>191065</v>
      </c>
      <c r="D27" s="432">
        <v>3974152</v>
      </c>
      <c r="E27" s="433">
        <v>23883</v>
      </c>
    </row>
    <row r="28" spans="2:5" s="422" customFormat="1" ht="14.25" customHeight="1">
      <c r="B28" s="431" t="s">
        <v>253</v>
      </c>
      <c r="C28" s="432">
        <v>383993</v>
      </c>
      <c r="D28" s="432">
        <v>7987054</v>
      </c>
      <c r="E28" s="433">
        <v>47999</v>
      </c>
    </row>
    <row r="29" spans="2:5" s="422" customFormat="1" ht="14.25" customHeight="1">
      <c r="B29" s="431" t="s">
        <v>254</v>
      </c>
      <c r="C29" s="432">
        <v>347311</v>
      </c>
      <c r="D29" s="432">
        <v>7224069</v>
      </c>
      <c r="E29" s="433">
        <v>43414</v>
      </c>
    </row>
    <row r="30" spans="2:5" s="422" customFormat="1" ht="14.25" customHeight="1">
      <c r="B30" s="431" t="s">
        <v>255</v>
      </c>
      <c r="C30" s="432">
        <v>341672</v>
      </c>
      <c r="D30" s="432">
        <v>7106778</v>
      </c>
      <c r="E30" s="433">
        <v>42709</v>
      </c>
    </row>
    <row r="31" spans="2:5" s="422" customFormat="1" ht="14.25" customHeight="1">
      <c r="B31" s="431" t="s">
        <v>256</v>
      </c>
      <c r="C31" s="432">
        <v>424780</v>
      </c>
      <c r="D31" s="432">
        <v>8835424</v>
      </c>
      <c r="E31" s="433">
        <v>53098</v>
      </c>
    </row>
    <row r="32" spans="2:5" s="422" customFormat="1" ht="14.25" customHeight="1">
      <c r="B32" s="431" t="s">
        <v>257</v>
      </c>
      <c r="C32" s="432">
        <v>200136</v>
      </c>
      <c r="D32" s="432">
        <v>4162829</v>
      </c>
      <c r="E32" s="433">
        <v>25017</v>
      </c>
    </row>
    <row r="33" spans="1:5" s="422" customFormat="1" ht="14.25" customHeight="1">
      <c r="B33" s="431" t="s">
        <v>258</v>
      </c>
      <c r="C33" s="432">
        <v>424481</v>
      </c>
      <c r="D33" s="432">
        <v>8829205</v>
      </c>
      <c r="E33" s="433">
        <v>53060</v>
      </c>
    </row>
    <row r="34" spans="1:5" s="422" customFormat="1" ht="14.25" customHeight="1">
      <c r="B34" s="431" t="s">
        <v>259</v>
      </c>
      <c r="C34" s="432">
        <v>236877</v>
      </c>
      <c r="D34" s="432">
        <v>4927042</v>
      </c>
      <c r="E34" s="433">
        <v>29610</v>
      </c>
    </row>
    <row r="35" spans="1:5" s="422" customFormat="1" ht="14.25" customHeight="1">
      <c r="B35" s="431" t="s">
        <v>260</v>
      </c>
      <c r="C35" s="432">
        <v>386114</v>
      </c>
      <c r="D35" s="432">
        <v>8031171</v>
      </c>
      <c r="E35" s="433">
        <v>48264</v>
      </c>
    </row>
    <row r="36" spans="1:5" s="422" customFormat="1" ht="14.25" customHeight="1">
      <c r="B36" s="431" t="s">
        <v>261</v>
      </c>
      <c r="C36" s="432">
        <v>301482</v>
      </c>
      <c r="D36" s="432">
        <v>6270826</v>
      </c>
      <c r="E36" s="433">
        <v>37685</v>
      </c>
    </row>
    <row r="37" spans="1:5" s="422" customFormat="1" ht="14.25" customHeight="1">
      <c r="B37" s="434" t="s">
        <v>262</v>
      </c>
      <c r="C37" s="435">
        <v>279165</v>
      </c>
      <c r="D37" s="435">
        <v>5806632</v>
      </c>
      <c r="E37" s="436">
        <v>34896</v>
      </c>
    </row>
    <row r="38" spans="1:5" s="422" customFormat="1" ht="7.5" customHeight="1"/>
    <row r="39" spans="1:5" s="422" customFormat="1" ht="161.25" customHeight="1">
      <c r="B39" s="437" t="s">
        <v>290</v>
      </c>
      <c r="C39" s="437"/>
      <c r="D39" s="437"/>
      <c r="E39" s="437"/>
    </row>
    <row r="40" spans="1:5" s="422" customFormat="1" ht="9.75" customHeight="1"/>
    <row r="41" spans="1:5" s="422" customFormat="1" ht="16.5">
      <c r="B41" s="438" t="s">
        <v>291</v>
      </c>
    </row>
    <row r="42" spans="1:5" s="422" customFormat="1" ht="9" customHeight="1"/>
    <row r="43" spans="1:5" s="422" customFormat="1" ht="16.5">
      <c r="A43" s="439">
        <v>44571</v>
      </c>
      <c r="B43" s="439"/>
      <c r="C43" s="439"/>
      <c r="D43" s="439"/>
      <c r="E43" s="439"/>
    </row>
    <row r="44" spans="1:5" s="422" customFormat="1" ht="33" customHeight="1">
      <c r="A44" s="440" t="s">
        <v>142</v>
      </c>
      <c r="B44" s="440"/>
      <c r="C44" s="440"/>
      <c r="D44" s="440"/>
      <c r="E44" s="440"/>
    </row>
    <row r="45" spans="1:5" s="422" customFormat="1" ht="16.5"/>
    <row r="46" spans="1:5" s="422" customFormat="1" ht="16.5"/>
    <row r="47" spans="1:5" s="422" customFormat="1" ht="16.5"/>
    <row r="48" spans="1:5" s="422" customFormat="1" ht="16.5"/>
    <row r="49" s="422" customFormat="1" ht="16.5"/>
    <row r="50" s="422" customFormat="1" ht="16.5"/>
    <row r="51" s="422" customFormat="1" ht="16.5"/>
    <row r="52" s="422" customFormat="1" ht="16.5"/>
    <row r="53" s="422" customFormat="1" ht="16.5"/>
    <row r="54" s="422" customFormat="1" ht="16.5"/>
    <row r="55" s="422" customFormat="1" ht="16.5"/>
    <row r="56" s="422" customFormat="1" ht="16.5"/>
    <row r="57" s="422" customFormat="1" ht="16.5"/>
    <row r="58" s="422" customFormat="1" ht="16.5"/>
    <row r="59" s="422" customFormat="1" ht="16.5"/>
    <row r="60" s="422" customFormat="1" ht="16.5"/>
    <row r="61" s="422" customFormat="1" ht="16.5"/>
    <row r="62" s="422" customFormat="1" ht="16.5"/>
    <row r="63" s="422" customFormat="1" ht="16.5"/>
    <row r="64" s="422" customFormat="1" ht="16.5"/>
    <row r="65" s="422" customFormat="1" ht="16.5"/>
    <row r="66" s="422" customFormat="1" ht="16.5"/>
    <row r="67" s="422" customFormat="1" ht="16.5"/>
    <row r="68" s="422" customFormat="1" ht="16.5"/>
    <row r="69" s="422" customFormat="1" ht="16.5"/>
    <row r="70" s="422" customFormat="1" ht="16.5"/>
    <row r="71" s="422" customFormat="1" ht="16.5"/>
    <row r="72" s="422" customFormat="1" ht="16.5"/>
    <row r="73" s="422" customFormat="1" ht="16.5"/>
    <row r="74" s="422" customFormat="1" ht="16.5"/>
    <row r="75" s="422" customFormat="1" ht="16.5"/>
    <row r="76" s="422" customFormat="1" ht="16.5"/>
    <row r="77" s="422" customFormat="1" ht="16.5"/>
    <row r="78" s="422" customFormat="1" ht="16.5"/>
    <row r="79" s="422" customFormat="1" ht="16.5"/>
    <row r="80" s="422" customFormat="1" ht="16.5"/>
    <row r="81" s="422" customFormat="1" ht="16.5"/>
    <row r="82" s="422" customFormat="1" ht="16.5"/>
    <row r="83" s="422" customFormat="1" ht="16.5"/>
    <row r="84" s="422" customFormat="1" ht="16.5"/>
    <row r="85" s="422" customFormat="1" ht="16.5"/>
    <row r="86" s="422" customFormat="1" ht="16.5"/>
    <row r="87" s="422" customFormat="1" ht="16.5"/>
    <row r="88" s="422" customFormat="1" ht="16.5"/>
    <row r="89" s="422" customFormat="1" ht="16.5"/>
    <row r="90" s="422" customFormat="1" ht="16.5"/>
    <row r="91" s="422" customFormat="1" ht="16.5"/>
    <row r="92" s="422" customFormat="1" ht="16.5"/>
    <row r="93" s="422" customFormat="1" ht="16.5"/>
    <row r="94" s="422" customFormat="1" ht="16.5"/>
    <row r="95" s="422" customFormat="1" ht="16.5"/>
    <row r="96" s="422" customFormat="1" ht="16.5"/>
    <row r="97" s="422" customFormat="1" ht="16.5"/>
    <row r="98" s="422" customFormat="1" ht="16.5"/>
    <row r="99" s="422" customFormat="1" ht="16.5"/>
    <row r="100" s="422" customFormat="1" ht="16.5"/>
    <row r="101" s="422" customFormat="1" ht="16.5"/>
    <row r="102" s="422" customFormat="1" ht="16.5"/>
    <row r="103" s="422" customFormat="1" ht="16.5"/>
    <row r="104" s="422" customFormat="1" ht="16.5"/>
    <row r="105" s="422" customFormat="1" ht="16.5"/>
    <row r="106" s="422" customFormat="1" ht="16.5"/>
    <row r="107" s="422" customFormat="1" ht="16.5"/>
    <row r="108" s="422" customFormat="1" ht="16.5"/>
    <row r="109" s="422" customFormat="1" ht="16.5"/>
    <row r="110" s="422" customFormat="1" ht="16.5"/>
    <row r="111" s="422" customFormat="1" ht="16.5"/>
    <row r="112" s="422" customFormat="1" ht="16.5"/>
    <row r="113" s="422" customFormat="1" ht="16.5"/>
    <row r="114" s="422" customFormat="1" ht="16.5"/>
    <row r="115" s="422" customFormat="1" ht="16.5"/>
    <row r="116" s="422" customFormat="1" ht="16.5"/>
    <row r="117" s="422" customFormat="1" ht="16.5"/>
    <row r="118" s="422" customFormat="1" ht="16.5"/>
    <row r="119" s="422" customFormat="1" ht="16.5"/>
    <row r="120" s="422" customFormat="1" ht="16.5"/>
    <row r="121" s="422" customFormat="1" ht="16.5"/>
    <row r="122" s="422" customFormat="1" ht="16.5"/>
    <row r="123" s="422" customFormat="1" ht="16.5"/>
    <row r="124" s="422" customFormat="1" ht="16.5"/>
    <row r="125" s="422" customFormat="1" ht="16.5"/>
    <row r="126" s="422" customFormat="1" ht="16.5"/>
    <row r="127" s="422" customFormat="1" ht="16.5"/>
    <row r="128" s="422" customFormat="1" ht="16.5"/>
    <row r="129" s="422" customFormat="1" ht="16.5"/>
    <row r="130" s="422" customFormat="1" ht="16.5"/>
    <row r="131" s="422" customFormat="1" ht="16.5"/>
  </sheetData>
  <mergeCells count="6">
    <mergeCell ref="A44:E44"/>
    <mergeCell ref="A2:E2"/>
    <mergeCell ref="A4:E4"/>
    <mergeCell ref="A6:E6"/>
    <mergeCell ref="B39:E39"/>
    <mergeCell ref="A43:E43"/>
  </mergeCells>
  <phoneticPr fontId="3" type="noConversion"/>
  <pageMargins left="0.43" right="0.38" top="0.52" bottom="0.17" header="0.3" footer="0.17"/>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5E3D-3DDE-47CC-9B20-674F47D834A1}">
  <dimension ref="A1:J34"/>
  <sheetViews>
    <sheetView zoomScale="85" zoomScaleNormal="85" workbookViewId="0">
      <selection sqref="A1:XFD1048576"/>
    </sheetView>
  </sheetViews>
  <sheetFormatPr defaultRowHeight="19.5" customHeight="1"/>
  <cols>
    <col min="1" max="1" width="27.6640625" style="422" customWidth="1"/>
    <col min="2" max="4" width="16.6640625" style="422" customWidth="1"/>
    <col min="5" max="16384" width="8.88671875" style="422"/>
  </cols>
  <sheetData>
    <row r="1" spans="1:10" ht="31.5" customHeight="1">
      <c r="A1" s="441" t="s">
        <v>292</v>
      </c>
      <c r="B1" s="441"/>
      <c r="C1" s="441"/>
      <c r="D1" s="441"/>
      <c r="E1" s="442"/>
      <c r="F1" s="442"/>
      <c r="G1" s="442"/>
      <c r="H1" s="442"/>
      <c r="I1" s="442"/>
      <c r="J1" s="442"/>
    </row>
    <row r="2" spans="1:10" ht="10.5" customHeight="1"/>
    <row r="3" spans="1:10" ht="19.5" customHeight="1">
      <c r="D3" s="424" t="s">
        <v>230</v>
      </c>
    </row>
    <row r="4" spans="1:10" ht="19.5" customHeight="1">
      <c r="A4" s="443" t="s">
        <v>119</v>
      </c>
      <c r="B4" s="444" t="s">
        <v>293</v>
      </c>
      <c r="C4" s="444" t="s">
        <v>294</v>
      </c>
      <c r="D4" s="444" t="s">
        <v>280</v>
      </c>
    </row>
    <row r="5" spans="1:10" ht="19.5" customHeight="1">
      <c r="A5" s="443"/>
      <c r="B5" s="444" t="s">
        <v>281</v>
      </c>
      <c r="C5" s="444" t="s">
        <v>281</v>
      </c>
      <c r="D5" s="444" t="s">
        <v>282</v>
      </c>
    </row>
    <row r="6" spans="1:10" ht="19.5" customHeight="1">
      <c r="A6" s="445" t="s">
        <v>234</v>
      </c>
      <c r="B6" s="446">
        <v>396436</v>
      </c>
      <c r="C6" s="446">
        <v>213176</v>
      </c>
      <c r="D6" s="446">
        <v>360307</v>
      </c>
    </row>
    <row r="7" spans="1:10" ht="19.5" customHeight="1">
      <c r="A7" s="447" t="s">
        <v>235</v>
      </c>
      <c r="B7" s="448">
        <v>533584</v>
      </c>
      <c r="C7" s="448">
        <v>278295</v>
      </c>
      <c r="D7" s="448">
        <v>484732</v>
      </c>
    </row>
    <row r="8" spans="1:10" ht="19.5" customHeight="1">
      <c r="A8" s="447" t="s">
        <v>236</v>
      </c>
      <c r="B8" s="448">
        <v>415612</v>
      </c>
      <c r="C8" s="448">
        <v>214662</v>
      </c>
      <c r="D8" s="448">
        <v>347123</v>
      </c>
    </row>
    <row r="9" spans="1:10" ht="19.5" customHeight="1">
      <c r="A9" s="447" t="s">
        <v>237</v>
      </c>
      <c r="B9" s="448">
        <v>658422</v>
      </c>
      <c r="C9" s="448">
        <v>423003</v>
      </c>
      <c r="D9" s="448">
        <v>548550</v>
      </c>
    </row>
    <row r="10" spans="1:10" ht="19.5" customHeight="1">
      <c r="A10" s="447" t="s">
        <v>238</v>
      </c>
      <c r="B10" s="448">
        <v>361287</v>
      </c>
      <c r="C10" s="448">
        <v>239965</v>
      </c>
      <c r="D10" s="448">
        <v>323184</v>
      </c>
    </row>
    <row r="11" spans="1:10" ht="19.5" customHeight="1">
      <c r="A11" s="447" t="s">
        <v>239</v>
      </c>
      <c r="B11" s="448">
        <v>481456</v>
      </c>
      <c r="C11" s="448">
        <v>277463</v>
      </c>
      <c r="D11" s="448">
        <v>406823</v>
      </c>
    </row>
    <row r="12" spans="1:10" ht="19.5" customHeight="1">
      <c r="A12" s="447" t="s">
        <v>240</v>
      </c>
      <c r="B12" s="448">
        <v>404213</v>
      </c>
      <c r="C12" s="448">
        <v>216417</v>
      </c>
      <c r="D12" s="448">
        <v>345428</v>
      </c>
    </row>
    <row r="13" spans="1:10" ht="19.5" customHeight="1">
      <c r="A13" s="447" t="s">
        <v>241</v>
      </c>
      <c r="B13" s="448">
        <v>458653</v>
      </c>
      <c r="C13" s="448">
        <v>280367</v>
      </c>
      <c r="D13" s="448">
        <v>448240</v>
      </c>
    </row>
    <row r="14" spans="1:10" ht="19.5" customHeight="1">
      <c r="A14" s="447" t="s">
        <v>242</v>
      </c>
      <c r="B14" s="448">
        <v>736903</v>
      </c>
      <c r="C14" s="448">
        <v>430266</v>
      </c>
      <c r="D14" s="448">
        <v>556512</v>
      </c>
    </row>
    <row r="15" spans="1:10" ht="19.5" customHeight="1">
      <c r="A15" s="447" t="s">
        <v>243</v>
      </c>
      <c r="B15" s="448">
        <v>475950</v>
      </c>
      <c r="C15" s="448">
        <v>263152</v>
      </c>
      <c r="D15" s="448">
        <v>414770</v>
      </c>
    </row>
    <row r="16" spans="1:10" ht="19.5" customHeight="1">
      <c r="A16" s="447" t="s">
        <v>244</v>
      </c>
      <c r="B16" s="448">
        <v>323971</v>
      </c>
      <c r="C16" s="448">
        <v>155597</v>
      </c>
      <c r="D16" s="448">
        <v>274465</v>
      </c>
    </row>
    <row r="17" spans="1:4" ht="19.5" customHeight="1">
      <c r="A17" s="447" t="s">
        <v>245</v>
      </c>
      <c r="B17" s="448">
        <v>286449</v>
      </c>
      <c r="C17" s="448">
        <v>148097</v>
      </c>
      <c r="D17" s="448">
        <v>228717</v>
      </c>
    </row>
    <row r="18" spans="1:4" ht="19.5" customHeight="1">
      <c r="A18" s="447" t="s">
        <v>246</v>
      </c>
      <c r="B18" s="448">
        <v>358089</v>
      </c>
      <c r="C18" s="448">
        <v>187212</v>
      </c>
      <c r="D18" s="448">
        <v>306034</v>
      </c>
    </row>
    <row r="19" spans="1:4" ht="19.5" customHeight="1">
      <c r="A19" s="447" t="s">
        <v>247</v>
      </c>
      <c r="B19" s="448">
        <v>283724</v>
      </c>
      <c r="C19" s="448">
        <v>168602</v>
      </c>
      <c r="D19" s="448">
        <v>238787</v>
      </c>
    </row>
    <row r="20" spans="1:4" ht="19.5" customHeight="1">
      <c r="A20" s="447" t="s">
        <v>248</v>
      </c>
      <c r="B20" s="448">
        <v>312526</v>
      </c>
      <c r="C20" s="448">
        <v>181839</v>
      </c>
      <c r="D20" s="448">
        <v>261291</v>
      </c>
    </row>
    <row r="21" spans="1:4" ht="19.5" customHeight="1">
      <c r="A21" s="447" t="s">
        <v>283</v>
      </c>
      <c r="B21" s="448">
        <v>287832</v>
      </c>
      <c r="C21" s="448">
        <v>153590</v>
      </c>
      <c r="D21" s="448">
        <v>243285</v>
      </c>
    </row>
    <row r="22" spans="1:4" ht="19.5" customHeight="1">
      <c r="A22" s="447" t="s">
        <v>250</v>
      </c>
      <c r="B22" s="448">
        <v>408051</v>
      </c>
      <c r="C22" s="448">
        <v>189039</v>
      </c>
      <c r="D22" s="448">
        <v>335974</v>
      </c>
    </row>
    <row r="23" spans="1:4" ht="19.5" customHeight="1">
      <c r="A23" s="447" t="s">
        <v>251</v>
      </c>
      <c r="B23" s="448">
        <v>331837</v>
      </c>
      <c r="C23" s="448">
        <v>190154</v>
      </c>
      <c r="D23" s="448">
        <v>297180</v>
      </c>
    </row>
    <row r="24" spans="1:4" ht="19.5" customHeight="1">
      <c r="A24" s="447" t="s">
        <v>252</v>
      </c>
      <c r="B24" s="448">
        <v>225399</v>
      </c>
      <c r="C24" s="448">
        <v>144053</v>
      </c>
      <c r="D24" s="448">
        <v>191065</v>
      </c>
    </row>
    <row r="25" spans="1:4" ht="19.5" customHeight="1">
      <c r="A25" s="447" t="s">
        <v>253</v>
      </c>
      <c r="B25" s="448">
        <v>398664</v>
      </c>
      <c r="C25" s="448">
        <v>196865</v>
      </c>
      <c r="D25" s="448">
        <v>383993</v>
      </c>
    </row>
    <row r="26" spans="1:4" ht="19.5" customHeight="1">
      <c r="A26" s="447" t="s">
        <v>254</v>
      </c>
      <c r="B26" s="448">
        <v>495844</v>
      </c>
      <c r="C26" s="448">
        <v>165837</v>
      </c>
      <c r="D26" s="448">
        <v>347311</v>
      </c>
    </row>
    <row r="27" spans="1:4" ht="19.5" customHeight="1">
      <c r="A27" s="447" t="s">
        <v>255</v>
      </c>
      <c r="B27" s="448">
        <v>403400</v>
      </c>
      <c r="C27" s="448">
        <v>206121</v>
      </c>
      <c r="D27" s="448">
        <v>341672</v>
      </c>
    </row>
    <row r="28" spans="1:4" ht="19.5" customHeight="1">
      <c r="A28" s="447" t="s">
        <v>256</v>
      </c>
      <c r="B28" s="448">
        <v>482500</v>
      </c>
      <c r="C28" s="448">
        <v>226448</v>
      </c>
      <c r="D28" s="448">
        <v>424780</v>
      </c>
    </row>
    <row r="29" spans="1:4" ht="19.5" customHeight="1">
      <c r="A29" s="447" t="s">
        <v>257</v>
      </c>
      <c r="B29" s="448">
        <v>239643</v>
      </c>
      <c r="C29" s="448">
        <v>134184</v>
      </c>
      <c r="D29" s="448">
        <v>200136</v>
      </c>
    </row>
    <row r="30" spans="1:4" ht="19.5" customHeight="1">
      <c r="A30" s="447" t="s">
        <v>258</v>
      </c>
      <c r="B30" s="448">
        <v>477925</v>
      </c>
      <c r="C30" s="448">
        <v>324054</v>
      </c>
      <c r="D30" s="448">
        <v>424481</v>
      </c>
    </row>
    <row r="31" spans="1:4" ht="19.5" customHeight="1">
      <c r="A31" s="447" t="s">
        <v>259</v>
      </c>
      <c r="B31" s="448">
        <v>247561</v>
      </c>
      <c r="C31" s="448">
        <v>143182</v>
      </c>
      <c r="D31" s="448">
        <v>236877</v>
      </c>
    </row>
    <row r="32" spans="1:4" ht="19.5" customHeight="1">
      <c r="A32" s="447" t="s">
        <v>260</v>
      </c>
      <c r="B32" s="448">
        <v>383942</v>
      </c>
      <c r="C32" s="448">
        <v>210845</v>
      </c>
      <c r="D32" s="448">
        <v>386114</v>
      </c>
    </row>
    <row r="33" spans="1:4" ht="19.5" customHeight="1">
      <c r="A33" s="447" t="s">
        <v>261</v>
      </c>
      <c r="B33" s="448">
        <v>360700</v>
      </c>
      <c r="C33" s="448">
        <v>224580</v>
      </c>
      <c r="D33" s="448">
        <v>301482</v>
      </c>
    </row>
    <row r="34" spans="1:4" ht="19.5" customHeight="1">
      <c r="A34" s="449" t="s">
        <v>262</v>
      </c>
      <c r="B34" s="450">
        <v>333740</v>
      </c>
      <c r="C34" s="450">
        <v>208606</v>
      </c>
      <c r="D34" s="450">
        <v>279165</v>
      </c>
    </row>
  </sheetData>
  <mergeCells count="2">
    <mergeCell ref="A1:D1"/>
    <mergeCell ref="A4:A5"/>
  </mergeCells>
  <phoneticPr fontId="3" type="noConversion"/>
  <pageMargins left="0.31" right="0.26" top="0.98"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88833-70BB-427D-8547-771B756C3AA4}">
  <dimension ref="A1:D34"/>
  <sheetViews>
    <sheetView topLeftCell="A10" zoomScale="85" zoomScaleNormal="85" workbookViewId="0">
      <selection activeCell="C4" sqref="C4"/>
    </sheetView>
  </sheetViews>
  <sheetFormatPr defaultRowHeight="16.5"/>
  <cols>
    <col min="1" max="1" width="7.77734375" style="352" customWidth="1"/>
    <col min="2" max="2" width="14.109375" style="357" customWidth="1"/>
    <col min="3" max="3" width="12" style="357" customWidth="1"/>
    <col min="4" max="4" width="57.109375" style="352" customWidth="1"/>
    <col min="5" max="16384" width="8.88671875" style="352"/>
  </cols>
  <sheetData>
    <row r="1" spans="1:4" ht="23.25" customHeight="1">
      <c r="A1" s="410" t="s">
        <v>263</v>
      </c>
      <c r="B1" s="410"/>
      <c r="C1" s="410"/>
      <c r="D1" s="410"/>
    </row>
    <row r="2" spans="1:4" ht="12" customHeight="1">
      <c r="A2" s="353"/>
      <c r="B2" s="353"/>
      <c r="C2" s="353"/>
      <c r="D2" s="353"/>
    </row>
    <row r="3" spans="1:4">
      <c r="A3" s="354" t="s">
        <v>143</v>
      </c>
      <c r="B3" s="354" t="s">
        <v>144</v>
      </c>
      <c r="C3" s="354" t="s">
        <v>145</v>
      </c>
      <c r="D3" s="354" t="s">
        <v>146</v>
      </c>
    </row>
    <row r="4" spans="1:4" ht="42.75" customHeight="1">
      <c r="A4" s="355">
        <v>1</v>
      </c>
      <c r="B4" s="355" t="s">
        <v>147</v>
      </c>
      <c r="C4" s="359" t="s">
        <v>148</v>
      </c>
      <c r="D4" s="356" t="s">
        <v>149</v>
      </c>
    </row>
    <row r="5" spans="1:4" ht="45.75" customHeight="1">
      <c r="A5" s="355">
        <v>2</v>
      </c>
      <c r="B5" s="355" t="s">
        <v>264</v>
      </c>
      <c r="C5" s="355" t="s">
        <v>150</v>
      </c>
      <c r="D5" s="356" t="s">
        <v>151</v>
      </c>
    </row>
    <row r="6" spans="1:4" ht="50.1" customHeight="1">
      <c r="A6" s="355">
        <v>3</v>
      </c>
      <c r="B6" s="355" t="s">
        <v>265</v>
      </c>
      <c r="C6" s="355" t="s">
        <v>266</v>
      </c>
      <c r="D6" s="356" t="s">
        <v>152</v>
      </c>
    </row>
    <row r="7" spans="1:4" ht="90" customHeight="1">
      <c r="A7" s="355">
        <v>4</v>
      </c>
      <c r="B7" s="355" t="s">
        <v>153</v>
      </c>
      <c r="C7" s="355" t="s">
        <v>154</v>
      </c>
      <c r="D7" s="356" t="s">
        <v>267</v>
      </c>
    </row>
    <row r="8" spans="1:4" ht="50.1" customHeight="1">
      <c r="A8" s="355">
        <v>5</v>
      </c>
      <c r="B8" s="355" t="s">
        <v>155</v>
      </c>
      <c r="C8" s="355" t="s">
        <v>156</v>
      </c>
      <c r="D8" s="356" t="s">
        <v>157</v>
      </c>
    </row>
    <row r="9" spans="1:4" ht="50.1" customHeight="1">
      <c r="A9" s="355">
        <v>6</v>
      </c>
      <c r="B9" s="355" t="s">
        <v>268</v>
      </c>
      <c r="C9" s="358" t="s">
        <v>158</v>
      </c>
      <c r="D9" s="356" t="s">
        <v>159</v>
      </c>
    </row>
    <row r="10" spans="1:4" ht="50.1" customHeight="1">
      <c r="A10" s="355">
        <v>7</v>
      </c>
      <c r="B10" s="355" t="s">
        <v>160</v>
      </c>
      <c r="C10" s="358" t="s">
        <v>161</v>
      </c>
      <c r="D10" s="356" t="s">
        <v>162</v>
      </c>
    </row>
    <row r="11" spans="1:4" ht="50.1" customHeight="1">
      <c r="A11" s="355">
        <v>8</v>
      </c>
      <c r="B11" s="355" t="s">
        <v>163</v>
      </c>
      <c r="C11" s="355" t="s">
        <v>164</v>
      </c>
      <c r="D11" s="356" t="s">
        <v>165</v>
      </c>
    </row>
    <row r="12" spans="1:4" ht="50.1" customHeight="1">
      <c r="A12" s="355">
        <v>9</v>
      </c>
      <c r="B12" s="355" t="s">
        <v>166</v>
      </c>
      <c r="C12" s="355" t="s">
        <v>167</v>
      </c>
      <c r="D12" s="356" t="s">
        <v>168</v>
      </c>
    </row>
    <row r="13" spans="1:4" ht="50.1" customHeight="1">
      <c r="A13" s="355">
        <v>10</v>
      </c>
      <c r="B13" s="355" t="s">
        <v>169</v>
      </c>
      <c r="C13" s="355" t="s">
        <v>269</v>
      </c>
      <c r="D13" s="356" t="s">
        <v>170</v>
      </c>
    </row>
    <row r="14" spans="1:4" ht="50.1" customHeight="1">
      <c r="A14" s="355">
        <v>11</v>
      </c>
      <c r="B14" s="355" t="s">
        <v>171</v>
      </c>
      <c r="C14" s="360" t="s">
        <v>172</v>
      </c>
      <c r="D14" s="356" t="s">
        <v>173</v>
      </c>
    </row>
    <row r="15" spans="1:4" ht="50.1" customHeight="1">
      <c r="A15" s="355">
        <v>12</v>
      </c>
      <c r="B15" s="355" t="s">
        <v>270</v>
      </c>
      <c r="C15" s="360" t="s">
        <v>271</v>
      </c>
      <c r="D15" s="356" t="s">
        <v>272</v>
      </c>
    </row>
    <row r="16" spans="1:4" ht="130.5" customHeight="1">
      <c r="A16" s="355">
        <v>13</v>
      </c>
      <c r="B16" s="355" t="s">
        <v>174</v>
      </c>
      <c r="C16" s="355" t="s">
        <v>175</v>
      </c>
      <c r="D16" s="356" t="s">
        <v>273</v>
      </c>
    </row>
    <row r="17" spans="1:4" ht="50.1" customHeight="1">
      <c r="A17" s="355">
        <v>14</v>
      </c>
      <c r="B17" s="355" t="s">
        <v>176</v>
      </c>
      <c r="C17" s="355" t="s">
        <v>177</v>
      </c>
      <c r="D17" s="356" t="s">
        <v>178</v>
      </c>
    </row>
    <row r="18" spans="1:4" ht="50.1" customHeight="1">
      <c r="A18" s="355">
        <v>15</v>
      </c>
      <c r="B18" s="355" t="s">
        <v>274</v>
      </c>
      <c r="C18" s="355" t="s">
        <v>179</v>
      </c>
      <c r="D18" s="356" t="s">
        <v>180</v>
      </c>
    </row>
    <row r="19" spans="1:4" ht="50.1" customHeight="1">
      <c r="A19" s="355">
        <v>16</v>
      </c>
      <c r="B19" s="355" t="s">
        <v>275</v>
      </c>
      <c r="C19" s="355" t="s">
        <v>181</v>
      </c>
      <c r="D19" s="356" t="s">
        <v>182</v>
      </c>
    </row>
    <row r="20" spans="1:4" ht="50.1" customHeight="1">
      <c r="A20" s="355">
        <v>17</v>
      </c>
      <c r="B20" s="355" t="s">
        <v>183</v>
      </c>
      <c r="C20" s="355" t="s">
        <v>184</v>
      </c>
      <c r="D20" s="356" t="s">
        <v>185</v>
      </c>
    </row>
    <row r="21" spans="1:4" ht="50.1" customHeight="1">
      <c r="A21" s="355">
        <v>18</v>
      </c>
      <c r="B21" s="355" t="s">
        <v>186</v>
      </c>
      <c r="C21" s="355" t="s">
        <v>187</v>
      </c>
      <c r="D21" s="356" t="s">
        <v>188</v>
      </c>
    </row>
    <row r="22" spans="1:4" ht="50.1" customHeight="1">
      <c r="A22" s="355">
        <v>19</v>
      </c>
      <c r="B22" s="355" t="s">
        <v>276</v>
      </c>
      <c r="C22" s="355" t="s">
        <v>189</v>
      </c>
      <c r="D22" s="356" t="s">
        <v>190</v>
      </c>
    </row>
    <row r="23" spans="1:4" ht="50.1" customHeight="1">
      <c r="A23" s="355">
        <v>20</v>
      </c>
      <c r="B23" s="355" t="s">
        <v>191</v>
      </c>
      <c r="C23" s="355" t="s">
        <v>277</v>
      </c>
      <c r="D23" s="356" t="s">
        <v>192</v>
      </c>
    </row>
    <row r="24" spans="1:4" ht="50.1" customHeight="1">
      <c r="A24" s="355">
        <v>21</v>
      </c>
      <c r="B24" s="355" t="s">
        <v>193</v>
      </c>
      <c r="C24" s="358" t="s">
        <v>194</v>
      </c>
      <c r="D24" s="356" t="s">
        <v>195</v>
      </c>
    </row>
    <row r="25" spans="1:4" ht="50.1" customHeight="1">
      <c r="A25" s="355">
        <v>22</v>
      </c>
      <c r="B25" s="355" t="s">
        <v>196</v>
      </c>
      <c r="C25" s="355" t="s">
        <v>196</v>
      </c>
      <c r="D25" s="356" t="s">
        <v>197</v>
      </c>
    </row>
    <row r="26" spans="1:4" ht="50.1" customHeight="1">
      <c r="A26" s="355">
        <v>23</v>
      </c>
      <c r="B26" s="355" t="s">
        <v>198</v>
      </c>
      <c r="C26" s="355" t="s">
        <v>199</v>
      </c>
      <c r="D26" s="356" t="s">
        <v>200</v>
      </c>
    </row>
    <row r="27" spans="1:4" ht="50.1" customHeight="1">
      <c r="A27" s="355">
        <v>24</v>
      </c>
      <c r="B27" s="355" t="s">
        <v>201</v>
      </c>
      <c r="C27" s="355" t="s">
        <v>202</v>
      </c>
      <c r="D27" s="356" t="s">
        <v>203</v>
      </c>
    </row>
    <row r="28" spans="1:4" ht="61.5" customHeight="1">
      <c r="A28" s="355">
        <v>25</v>
      </c>
      <c r="B28" s="355" t="s">
        <v>204</v>
      </c>
      <c r="C28" s="355" t="s">
        <v>204</v>
      </c>
      <c r="D28" s="356" t="s">
        <v>278</v>
      </c>
    </row>
    <row r="29" spans="1:4" ht="50.1" customHeight="1">
      <c r="A29" s="355">
        <v>26</v>
      </c>
      <c r="B29" s="355" t="s">
        <v>205</v>
      </c>
      <c r="C29" s="355" t="s">
        <v>205</v>
      </c>
      <c r="D29" s="356" t="s">
        <v>206</v>
      </c>
    </row>
    <row r="30" spans="1:4" ht="50.1" customHeight="1">
      <c r="A30" s="355">
        <v>27</v>
      </c>
      <c r="B30" s="355" t="s">
        <v>207</v>
      </c>
      <c r="C30" s="355" t="s">
        <v>279</v>
      </c>
      <c r="D30" s="356" t="s">
        <v>208</v>
      </c>
    </row>
    <row r="31" spans="1:4" ht="50.1" customHeight="1">
      <c r="A31" s="355">
        <v>28</v>
      </c>
      <c r="B31" s="355" t="s">
        <v>209</v>
      </c>
      <c r="C31" s="355" t="s">
        <v>210</v>
      </c>
      <c r="D31" s="356" t="s">
        <v>211</v>
      </c>
    </row>
    <row r="32" spans="1:4" ht="50.1" customHeight="1">
      <c r="A32" s="355">
        <v>29</v>
      </c>
      <c r="B32" s="355" t="s">
        <v>212</v>
      </c>
      <c r="C32" s="355" t="s">
        <v>213</v>
      </c>
      <c r="D32" s="356" t="s">
        <v>214</v>
      </c>
    </row>
    <row r="34" spans="1:1" s="350" customFormat="1">
      <c r="A34" s="350" t="s">
        <v>215</v>
      </c>
    </row>
  </sheetData>
  <mergeCells count="1">
    <mergeCell ref="A1:D1"/>
  </mergeCells>
  <phoneticPr fontId="3" type="noConversion"/>
  <pageMargins left="0.27559055118110237" right="0.23622047244094491" top="0.55118110236220474" bottom="0.31496062992125984" header="0.31496062992125984" footer="0.31496062992125984"/>
  <pageSetup paperSize="9" scale="90"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
  <sheetViews>
    <sheetView topLeftCell="A7" workbookViewId="0">
      <selection activeCell="A9" sqref="A9:G20"/>
    </sheetView>
  </sheetViews>
  <sheetFormatPr defaultRowHeight="16.5"/>
  <cols>
    <col min="1" max="16384" width="8.88671875" style="188"/>
  </cols>
  <sheetData>
    <row r="1" spans="1:9" ht="36" customHeight="1">
      <c r="A1" s="417" t="s">
        <v>216</v>
      </c>
      <c r="B1" s="417"/>
      <c r="C1" s="417"/>
      <c r="D1" s="417"/>
      <c r="E1" s="417"/>
      <c r="F1" s="417"/>
      <c r="G1" s="417"/>
      <c r="H1" s="417"/>
      <c r="I1" s="417"/>
    </row>
  </sheetData>
  <mergeCells count="1">
    <mergeCell ref="A1:I1"/>
  </mergeCells>
  <phoneticPr fontId="3" type="noConversion"/>
  <pageMargins left="0.25" right="0.25"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27F5-0C0C-48CA-96AB-277D37F166A4}">
  <dimension ref="A1"/>
  <sheetViews>
    <sheetView topLeftCell="A4" workbookViewId="0">
      <selection activeCell="A14" sqref="A14"/>
    </sheetView>
  </sheetViews>
  <sheetFormatPr defaultRowHeight="16.5"/>
  <cols>
    <col min="1" max="1" width="71.109375" style="350" customWidth="1"/>
    <col min="2" max="16384" width="8.88671875" style="350"/>
  </cols>
  <sheetData>
    <row r="1" spans="1:1" ht="317.25" customHeight="1">
      <c r="A1" s="351" t="s">
        <v>284</v>
      </c>
    </row>
  </sheetData>
  <phoneticPr fontId="3" type="noConversion"/>
  <pageMargins left="0.46" right="0.42"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2</vt:i4>
      </vt:variant>
    </vt:vector>
  </HeadingPairs>
  <TitlesOfParts>
    <vt:vector size="13" baseType="lpstr">
      <vt:lpstr>00.작성방법</vt:lpstr>
      <vt:lpstr>01.견적내기</vt:lpstr>
      <vt:lpstr>03.direct</vt:lpstr>
      <vt:lpstr>04.indirect</vt:lpstr>
      <vt:lpstr>ITSQF 직무체계 및 정의 (2)</vt:lpstr>
      <vt:lpstr>(구)등급별 평균임금</vt:lpstr>
      <vt:lpstr>IT직무별 평균임금</vt:lpstr>
      <vt:lpstr>IT직무별 상하위 구간 평균임금</vt:lpstr>
      <vt:lpstr>ITSQF 직무체계 및 정의</vt:lpstr>
      <vt:lpstr>(구)등급 분류기준</vt:lpstr>
      <vt:lpstr>SW기술자범위</vt:lpstr>
      <vt:lpstr>'ITSQF 직무체계 및 정의'!Print_Titles</vt:lpstr>
      <vt:lpstr>'ITSQF 직무체계 및 정의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iryo99</dc:creator>
  <cp:lastModifiedBy>219</cp:lastModifiedBy>
  <cp:lastPrinted>2016-08-12T11:16:49Z</cp:lastPrinted>
  <dcterms:created xsi:type="dcterms:W3CDTF">2006-01-18T11:23:17Z</dcterms:created>
  <dcterms:modified xsi:type="dcterms:W3CDTF">2022-07-01T08:06:37Z</dcterms:modified>
</cp:coreProperties>
</file>